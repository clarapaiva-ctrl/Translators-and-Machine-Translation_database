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ulisboa-my.sharepoint.com/personal/clarapaiva_office365_ulisboa_pt/Documents/Documentos/Doutoramento FLUL/Writings/Systematic Literature Review/2.SLR Final Data Bases/"/>
    </mc:Choice>
  </mc:AlternateContent>
  <xr:revisionPtr revIDLastSave="38" documentId="8_{FDAE25FE-433C-4773-99CA-6847EE391374}" xr6:coauthVersionLast="47" xr6:coauthVersionMax="47" xr10:uidLastSave="{ED1C1C1B-94A6-4C15-AF80-4A7A9705AF36}"/>
  <bookViews>
    <workbookView xWindow="-120" yWindow="-120" windowWidth="29040" windowHeight="15720" tabRatio="599" xr2:uid="{3B518577-289D-4D87-B400-914507A491B1}"/>
  </bookViews>
  <sheets>
    <sheet name="Translators_MT_Data" sheetId="5" r:id="rId1"/>
    <sheet name="Translators_MT_2nd coder data" sheetId="14" r:id="rId2"/>
    <sheet name="Codes list" sheetId="13" r:id="rId3"/>
    <sheet name="Coded Segments" sheetId="10" r:id="rId4"/>
    <sheet name="Coded segments 2nd coder" sheetId="15" r:id="rId5"/>
  </sheets>
  <definedNames>
    <definedName name="_xlnm._FilterDatabase" localSheetId="3" hidden="1">'Coded Segments'!$A$1:$H$913</definedName>
    <definedName name="_xlnm._FilterDatabase" localSheetId="4" hidden="1">'Coded segments 2nd coder'!$A$1:$H$219</definedName>
    <definedName name="DadosExternos_2" localSheetId="0" hidden="1">Translators_MT_Data!$A$1:$AG$66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4" l="1"/>
  <c r="G7" i="14"/>
  <c r="G6" i="14"/>
  <c r="G5" i="14"/>
  <c r="G4" i="14"/>
  <c r="G3" i="14"/>
  <c r="G2" i="14"/>
  <c r="AY2" i="5"/>
  <c r="AY3" i="5"/>
  <c r="AY4" i="5"/>
  <c r="AY5" i="5"/>
  <c r="AY6" i="5"/>
  <c r="AY7" i="5"/>
  <c r="AY8" i="5"/>
  <c r="AY9" i="5"/>
  <c r="AY10" i="5"/>
  <c r="AY11" i="5"/>
  <c r="AY12" i="5"/>
  <c r="AY13" i="5"/>
  <c r="AY14" i="5"/>
  <c r="AY15" i="5"/>
  <c r="AY16" i="5"/>
  <c r="AY17" i="5"/>
  <c r="AY18" i="5"/>
  <c r="AY19" i="5"/>
  <c r="AY20" i="5"/>
  <c r="AY21" i="5"/>
  <c r="AY22" i="5"/>
  <c r="AY23" i="5"/>
  <c r="AY24" i="5"/>
  <c r="AY25" i="5"/>
  <c r="AY26" i="5"/>
  <c r="AY27" i="5"/>
  <c r="AY28" i="5"/>
  <c r="AY29" i="5"/>
  <c r="AY30" i="5"/>
  <c r="AY31" i="5"/>
  <c r="AY32" i="5"/>
  <c r="AY33" i="5"/>
  <c r="AY34" i="5"/>
  <c r="AY35" i="5"/>
  <c r="AY36" i="5"/>
  <c r="AY37" i="5"/>
  <c r="AY38" i="5"/>
  <c r="AY39" i="5"/>
  <c r="AY40" i="5"/>
  <c r="AY41" i="5"/>
  <c r="AY42" i="5"/>
  <c r="AY43" i="5"/>
  <c r="AY44" i="5"/>
  <c r="AY45" i="5"/>
  <c r="AY46" i="5"/>
  <c r="AY47" i="5"/>
  <c r="AY48" i="5"/>
  <c r="AY49" i="5"/>
  <c r="AY50" i="5"/>
  <c r="AY51" i="5"/>
  <c r="AY52" i="5"/>
  <c r="AY53" i="5"/>
  <c r="AY54" i="5"/>
  <c r="AY55" i="5"/>
  <c r="AY56" i="5"/>
  <c r="AY57" i="5"/>
  <c r="AY58" i="5"/>
  <c r="AY59" i="5"/>
  <c r="AY60" i="5"/>
  <c r="AY61" i="5"/>
  <c r="AY62" i="5"/>
  <c r="AY63" i="5"/>
  <c r="AY64" i="5"/>
  <c r="AY65" i="5"/>
  <c r="AY66" i="5"/>
  <c r="AX2" i="5"/>
  <c r="AX3" i="5"/>
  <c r="AX4" i="5"/>
  <c r="AX5" i="5"/>
  <c r="AX6" i="5"/>
  <c r="AX7" i="5"/>
  <c r="AX8" i="5"/>
  <c r="AX9" i="5"/>
  <c r="AX10" i="5"/>
  <c r="AX11" i="5"/>
  <c r="AX12" i="5"/>
  <c r="AX13" i="5"/>
  <c r="AX14" i="5"/>
  <c r="AX15" i="5"/>
  <c r="AX16" i="5"/>
  <c r="AX17" i="5"/>
  <c r="AX18" i="5"/>
  <c r="AX19" i="5"/>
  <c r="AX20" i="5"/>
  <c r="AX21" i="5"/>
  <c r="AX22" i="5"/>
  <c r="AX23" i="5"/>
  <c r="AX24" i="5"/>
  <c r="AX25" i="5"/>
  <c r="AX26" i="5"/>
  <c r="AX27" i="5"/>
  <c r="AX28" i="5"/>
  <c r="AX29" i="5"/>
  <c r="AX30" i="5"/>
  <c r="AX31" i="5"/>
  <c r="AX32" i="5"/>
  <c r="AX33" i="5"/>
  <c r="AX34" i="5"/>
  <c r="AX35" i="5"/>
  <c r="AX36" i="5"/>
  <c r="AX37" i="5"/>
  <c r="AX38" i="5"/>
  <c r="AX39" i="5"/>
  <c r="AX40" i="5"/>
  <c r="AX41" i="5"/>
  <c r="AX42" i="5"/>
  <c r="AX43" i="5"/>
  <c r="AX44" i="5"/>
  <c r="AX45" i="5"/>
  <c r="AX46" i="5"/>
  <c r="AX47" i="5"/>
  <c r="AX48" i="5"/>
  <c r="AX49" i="5"/>
  <c r="AX50" i="5"/>
  <c r="AX51" i="5"/>
  <c r="AX52" i="5"/>
  <c r="AX53" i="5"/>
  <c r="AX54" i="5"/>
  <c r="AX55" i="5"/>
  <c r="AX56" i="5"/>
  <c r="AX57" i="5"/>
  <c r="AX58" i="5"/>
  <c r="AX59" i="5"/>
  <c r="AX60" i="5"/>
  <c r="AX61" i="5"/>
  <c r="AX62" i="5"/>
  <c r="AX63" i="5"/>
  <c r="AX64" i="5"/>
  <c r="AX65" i="5"/>
  <c r="AX66" i="5"/>
  <c r="AW2" i="5"/>
  <c r="AW3" i="5"/>
  <c r="AW4" i="5"/>
  <c r="AW5" i="5"/>
  <c r="AW6" i="5"/>
  <c r="AW7" i="5"/>
  <c r="AW8" i="5"/>
  <c r="AW9" i="5"/>
  <c r="AW10" i="5"/>
  <c r="AW11" i="5"/>
  <c r="AW12" i="5"/>
  <c r="AW13" i="5"/>
  <c r="AW14" i="5"/>
  <c r="AW15" i="5"/>
  <c r="AW16" i="5"/>
  <c r="AW17" i="5"/>
  <c r="AW18" i="5"/>
  <c r="AW19" i="5"/>
  <c r="AW20" i="5"/>
  <c r="AW21" i="5"/>
  <c r="AW22" i="5"/>
  <c r="AW23" i="5"/>
  <c r="AW24" i="5"/>
  <c r="AW25" i="5"/>
  <c r="AW26" i="5"/>
  <c r="AW27" i="5"/>
  <c r="AW28" i="5"/>
  <c r="AW29" i="5"/>
  <c r="AW30" i="5"/>
  <c r="AW31" i="5"/>
  <c r="AW32" i="5"/>
  <c r="AW33" i="5"/>
  <c r="AW34" i="5"/>
  <c r="AW35" i="5"/>
  <c r="AW36" i="5"/>
  <c r="AW37" i="5"/>
  <c r="AW38" i="5"/>
  <c r="AW39" i="5"/>
  <c r="AW40" i="5"/>
  <c r="AW41" i="5"/>
  <c r="AW42" i="5"/>
  <c r="AW43" i="5"/>
  <c r="AW44" i="5"/>
  <c r="AW45" i="5"/>
  <c r="AW46" i="5"/>
  <c r="AW47" i="5"/>
  <c r="AW48" i="5"/>
  <c r="AW49" i="5"/>
  <c r="AW50" i="5"/>
  <c r="AW51" i="5"/>
  <c r="AW52" i="5"/>
  <c r="AW53" i="5"/>
  <c r="AW54" i="5"/>
  <c r="AW55" i="5"/>
  <c r="AW56" i="5"/>
  <c r="AW57" i="5"/>
  <c r="AW58" i="5"/>
  <c r="AW59" i="5"/>
  <c r="AW60" i="5"/>
  <c r="AW61" i="5"/>
  <c r="AW62" i="5"/>
  <c r="AW63" i="5"/>
  <c r="AW64" i="5"/>
  <c r="AW65" i="5"/>
  <c r="AW66" i="5"/>
  <c r="AV2" i="5"/>
  <c r="AV3" i="5"/>
  <c r="AV4" i="5"/>
  <c r="AV5" i="5"/>
  <c r="AV6" i="5"/>
  <c r="AV7" i="5"/>
  <c r="AV8" i="5"/>
  <c r="AV9" i="5"/>
  <c r="AV10" i="5"/>
  <c r="AV11" i="5"/>
  <c r="AV12" i="5"/>
  <c r="AV13" i="5"/>
  <c r="AV14" i="5"/>
  <c r="AV15" i="5"/>
  <c r="AV16" i="5"/>
  <c r="AV17" i="5"/>
  <c r="AV18" i="5"/>
  <c r="AV19" i="5"/>
  <c r="AV20" i="5"/>
  <c r="AV21" i="5"/>
  <c r="AV22" i="5"/>
  <c r="AV23" i="5"/>
  <c r="AV24" i="5"/>
  <c r="AV25" i="5"/>
  <c r="AV26" i="5"/>
  <c r="AV27" i="5"/>
  <c r="AV28" i="5"/>
  <c r="AV29" i="5"/>
  <c r="AV30" i="5"/>
  <c r="AV31" i="5"/>
  <c r="AV32" i="5"/>
  <c r="AV33" i="5"/>
  <c r="AV34" i="5"/>
  <c r="AV35" i="5"/>
  <c r="AV36" i="5"/>
  <c r="AV37" i="5"/>
  <c r="AV38" i="5"/>
  <c r="AV39" i="5"/>
  <c r="AV40" i="5"/>
  <c r="AV41" i="5"/>
  <c r="AV42" i="5"/>
  <c r="AV43" i="5"/>
  <c r="AV44" i="5"/>
  <c r="AV45" i="5"/>
  <c r="AV46" i="5"/>
  <c r="AV47" i="5"/>
  <c r="AV48" i="5"/>
  <c r="AV49" i="5"/>
  <c r="AV50" i="5"/>
  <c r="AV51" i="5"/>
  <c r="AV52" i="5"/>
  <c r="AV53" i="5"/>
  <c r="AV54" i="5"/>
  <c r="AV55" i="5"/>
  <c r="AV56" i="5"/>
  <c r="AV57" i="5"/>
  <c r="AV58" i="5"/>
  <c r="AV59" i="5"/>
  <c r="AV60" i="5"/>
  <c r="AV61" i="5"/>
  <c r="AV62" i="5"/>
  <c r="AV63" i="5"/>
  <c r="AV64" i="5"/>
  <c r="AV65" i="5"/>
  <c r="AV66" i="5"/>
  <c r="AU2" i="5"/>
  <c r="AU3" i="5"/>
  <c r="AU4" i="5"/>
  <c r="AU5" i="5"/>
  <c r="AU6" i="5"/>
  <c r="AU7" i="5"/>
  <c r="AU8" i="5"/>
  <c r="AU9" i="5"/>
  <c r="AU10" i="5"/>
  <c r="AU11" i="5"/>
  <c r="AU12" i="5"/>
  <c r="AU13" i="5"/>
  <c r="AU14" i="5"/>
  <c r="AU15" i="5"/>
  <c r="AU16" i="5"/>
  <c r="AU17" i="5"/>
  <c r="AU18" i="5"/>
  <c r="AU19" i="5"/>
  <c r="AU20" i="5"/>
  <c r="AU21" i="5"/>
  <c r="AU22" i="5"/>
  <c r="AU23" i="5"/>
  <c r="AU24" i="5"/>
  <c r="AU25" i="5"/>
  <c r="AU26" i="5"/>
  <c r="AU27" i="5"/>
  <c r="AU28" i="5"/>
  <c r="AU29" i="5"/>
  <c r="AU30" i="5"/>
  <c r="AU31" i="5"/>
  <c r="AU32" i="5"/>
  <c r="AU33" i="5"/>
  <c r="AU34" i="5"/>
  <c r="AU35" i="5"/>
  <c r="AU36" i="5"/>
  <c r="AU37" i="5"/>
  <c r="AU38" i="5"/>
  <c r="AU39" i="5"/>
  <c r="AU40" i="5"/>
  <c r="AU41" i="5"/>
  <c r="AU42" i="5"/>
  <c r="AU43" i="5"/>
  <c r="AU44" i="5"/>
  <c r="AU45" i="5"/>
  <c r="AU46" i="5"/>
  <c r="AU47" i="5"/>
  <c r="AU48" i="5"/>
  <c r="AU49" i="5"/>
  <c r="AU50" i="5"/>
  <c r="AU51" i="5"/>
  <c r="AU52" i="5"/>
  <c r="AU53" i="5"/>
  <c r="AU54" i="5"/>
  <c r="AU55" i="5"/>
  <c r="AU56" i="5"/>
  <c r="AU57" i="5"/>
  <c r="AU58" i="5"/>
  <c r="AU59" i="5"/>
  <c r="AU60" i="5"/>
  <c r="AU61" i="5"/>
  <c r="AU62" i="5"/>
  <c r="AU63" i="5"/>
  <c r="AU64" i="5"/>
  <c r="AU65" i="5"/>
  <c r="AU66" i="5"/>
  <c r="AT2" i="5"/>
  <c r="AT3" i="5"/>
  <c r="AT4" i="5"/>
  <c r="AT5" i="5"/>
  <c r="AT6" i="5"/>
  <c r="AT7" i="5"/>
  <c r="AT8" i="5"/>
  <c r="AT9" i="5"/>
  <c r="AT10" i="5"/>
  <c r="AT11" i="5"/>
  <c r="AT12" i="5"/>
  <c r="AT13" i="5"/>
  <c r="AT14" i="5"/>
  <c r="AT15" i="5"/>
  <c r="AT16" i="5"/>
  <c r="AT17" i="5"/>
  <c r="AT18" i="5"/>
  <c r="AT19" i="5"/>
  <c r="AT20" i="5"/>
  <c r="AT21" i="5"/>
  <c r="AT22" i="5"/>
  <c r="AT23" i="5"/>
  <c r="AT24" i="5"/>
  <c r="AT25" i="5"/>
  <c r="AT26" i="5"/>
  <c r="AT27" i="5"/>
  <c r="AT28" i="5"/>
  <c r="AT29" i="5"/>
  <c r="AT30" i="5"/>
  <c r="AT31" i="5"/>
  <c r="AT32" i="5"/>
  <c r="AT33" i="5"/>
  <c r="AT34" i="5"/>
  <c r="AT35" i="5"/>
  <c r="AT36" i="5"/>
  <c r="AT37" i="5"/>
  <c r="AT38" i="5"/>
  <c r="AT39" i="5"/>
  <c r="AT40" i="5"/>
  <c r="AT41" i="5"/>
  <c r="AT42" i="5"/>
  <c r="AT43" i="5"/>
  <c r="AT44" i="5"/>
  <c r="AT45" i="5"/>
  <c r="AT46" i="5"/>
  <c r="AT47" i="5"/>
  <c r="AT48" i="5"/>
  <c r="AT49" i="5"/>
  <c r="AT50" i="5"/>
  <c r="AT51" i="5"/>
  <c r="AT52" i="5"/>
  <c r="AT53" i="5"/>
  <c r="AT54" i="5"/>
  <c r="AT55" i="5"/>
  <c r="AT56" i="5"/>
  <c r="AT57" i="5"/>
  <c r="AT58" i="5"/>
  <c r="AT59" i="5"/>
  <c r="AT60" i="5"/>
  <c r="AT61" i="5"/>
  <c r="AT62" i="5"/>
  <c r="AT63" i="5"/>
  <c r="AT64" i="5"/>
  <c r="AT65" i="5"/>
  <c r="AT66" i="5"/>
  <c r="AR2" i="5"/>
  <c r="AR3" i="5"/>
  <c r="AR4" i="5"/>
  <c r="AR5" i="5"/>
  <c r="AR6" i="5"/>
  <c r="AR7" i="5"/>
  <c r="AR8" i="5"/>
  <c r="AR9" i="5"/>
  <c r="AR10" i="5"/>
  <c r="AR11" i="5"/>
  <c r="AR12" i="5"/>
  <c r="AR13" i="5"/>
  <c r="AR14" i="5"/>
  <c r="AR15" i="5"/>
  <c r="AR16" i="5"/>
  <c r="AR17" i="5"/>
  <c r="AR18" i="5"/>
  <c r="AR19" i="5"/>
  <c r="AR20" i="5"/>
  <c r="AR21" i="5"/>
  <c r="AR22" i="5"/>
  <c r="AR23" i="5"/>
  <c r="AR24" i="5"/>
  <c r="AR25" i="5"/>
  <c r="AR26" i="5"/>
  <c r="AR27" i="5"/>
  <c r="AR28" i="5"/>
  <c r="AR29" i="5"/>
  <c r="AR30" i="5"/>
  <c r="AR31" i="5"/>
  <c r="AR32" i="5"/>
  <c r="AR33" i="5"/>
  <c r="AR34" i="5"/>
  <c r="AR35" i="5"/>
  <c r="AR36" i="5"/>
  <c r="AR37" i="5"/>
  <c r="AR38" i="5"/>
  <c r="AR39" i="5"/>
  <c r="AR40" i="5"/>
  <c r="AR41" i="5"/>
  <c r="AR42" i="5"/>
  <c r="AR43" i="5"/>
  <c r="AR44" i="5"/>
  <c r="AR45" i="5"/>
  <c r="AR46" i="5"/>
  <c r="AR47" i="5"/>
  <c r="AR48" i="5"/>
  <c r="AR49" i="5"/>
  <c r="AR50" i="5"/>
  <c r="AR51" i="5"/>
  <c r="AR52" i="5"/>
  <c r="AR53" i="5"/>
  <c r="AR54" i="5"/>
  <c r="AR55" i="5"/>
  <c r="AR56" i="5"/>
  <c r="AR57" i="5"/>
  <c r="AR58" i="5"/>
  <c r="AR59" i="5"/>
  <c r="AR60" i="5"/>
  <c r="AR61" i="5"/>
  <c r="AR62" i="5"/>
  <c r="AR63" i="5"/>
  <c r="AR64" i="5"/>
  <c r="AR65" i="5"/>
  <c r="AR66" i="5"/>
  <c r="AQ2" i="5"/>
  <c r="AQ3" i="5"/>
  <c r="AQ4" i="5"/>
  <c r="AQ5" i="5"/>
  <c r="AQ6" i="5"/>
  <c r="AQ7" i="5"/>
  <c r="AQ8" i="5"/>
  <c r="AQ9" i="5"/>
  <c r="AQ10" i="5"/>
  <c r="AQ11" i="5"/>
  <c r="AQ12" i="5"/>
  <c r="AQ13" i="5"/>
  <c r="AQ14" i="5"/>
  <c r="AQ15" i="5"/>
  <c r="AQ16" i="5"/>
  <c r="AQ17" i="5"/>
  <c r="AQ18" i="5"/>
  <c r="AQ19" i="5"/>
  <c r="AQ20" i="5"/>
  <c r="AQ21" i="5"/>
  <c r="AQ22" i="5"/>
  <c r="AQ23" i="5"/>
  <c r="AQ24" i="5"/>
  <c r="AQ25" i="5"/>
  <c r="AQ26" i="5"/>
  <c r="AQ27" i="5"/>
  <c r="AQ28" i="5"/>
  <c r="AQ29" i="5"/>
  <c r="AQ30" i="5"/>
  <c r="AQ31" i="5"/>
  <c r="AQ32" i="5"/>
  <c r="AQ33" i="5"/>
  <c r="AQ34" i="5"/>
  <c r="AQ35" i="5"/>
  <c r="AQ36" i="5"/>
  <c r="AQ37" i="5"/>
  <c r="AQ38" i="5"/>
  <c r="AQ39" i="5"/>
  <c r="AQ40" i="5"/>
  <c r="AQ41" i="5"/>
  <c r="AQ42" i="5"/>
  <c r="AQ43" i="5"/>
  <c r="AQ44" i="5"/>
  <c r="AQ45" i="5"/>
  <c r="AQ46" i="5"/>
  <c r="AQ47" i="5"/>
  <c r="AQ48" i="5"/>
  <c r="AQ49" i="5"/>
  <c r="AQ50" i="5"/>
  <c r="AQ51" i="5"/>
  <c r="AQ52" i="5"/>
  <c r="AQ53" i="5"/>
  <c r="AQ54" i="5"/>
  <c r="AQ55" i="5"/>
  <c r="AQ56" i="5"/>
  <c r="AQ57" i="5"/>
  <c r="AQ58" i="5"/>
  <c r="AQ59" i="5"/>
  <c r="AQ60" i="5"/>
  <c r="AQ61" i="5"/>
  <c r="AQ62" i="5"/>
  <c r="AQ63" i="5"/>
  <c r="AQ64" i="5"/>
  <c r="AQ65" i="5"/>
  <c r="AQ66" i="5"/>
  <c r="AP2" i="5"/>
  <c r="AP3" i="5"/>
  <c r="AP4" i="5"/>
  <c r="AP5" i="5"/>
  <c r="AP6" i="5"/>
  <c r="AP7" i="5"/>
  <c r="AP8" i="5"/>
  <c r="AP9" i="5"/>
  <c r="AP10" i="5"/>
  <c r="AP11" i="5"/>
  <c r="AP12" i="5"/>
  <c r="AP13" i="5"/>
  <c r="AP14" i="5"/>
  <c r="AP15" i="5"/>
  <c r="AP16" i="5"/>
  <c r="AP17" i="5"/>
  <c r="AP18" i="5"/>
  <c r="AP19" i="5"/>
  <c r="AP20" i="5"/>
  <c r="AP21" i="5"/>
  <c r="AP22" i="5"/>
  <c r="AP23" i="5"/>
  <c r="AP24" i="5"/>
  <c r="AP25" i="5"/>
  <c r="AP26" i="5"/>
  <c r="AP27" i="5"/>
  <c r="AP28" i="5"/>
  <c r="AP29" i="5"/>
  <c r="AP30" i="5"/>
  <c r="AP31" i="5"/>
  <c r="AP32" i="5"/>
  <c r="AP33" i="5"/>
  <c r="AP34" i="5"/>
  <c r="AP35" i="5"/>
  <c r="AP36" i="5"/>
  <c r="AP37" i="5"/>
  <c r="AP38" i="5"/>
  <c r="AP39" i="5"/>
  <c r="AP40" i="5"/>
  <c r="AP41" i="5"/>
  <c r="AP42" i="5"/>
  <c r="AP43" i="5"/>
  <c r="AP44" i="5"/>
  <c r="AP45" i="5"/>
  <c r="AP46" i="5"/>
  <c r="AP47" i="5"/>
  <c r="AP48" i="5"/>
  <c r="AP49" i="5"/>
  <c r="AP50" i="5"/>
  <c r="AP51" i="5"/>
  <c r="AP52" i="5"/>
  <c r="AP53" i="5"/>
  <c r="AP54" i="5"/>
  <c r="AP55" i="5"/>
  <c r="AP56" i="5"/>
  <c r="AP57" i="5"/>
  <c r="AP58" i="5"/>
  <c r="AP59" i="5"/>
  <c r="AP60" i="5"/>
  <c r="AP61" i="5"/>
  <c r="AP62" i="5"/>
  <c r="AP63" i="5"/>
  <c r="AP64" i="5"/>
  <c r="AP65" i="5"/>
  <c r="AP66" i="5"/>
  <c r="AO2" i="5"/>
  <c r="AO3" i="5"/>
  <c r="AO4" i="5"/>
  <c r="AO5" i="5"/>
  <c r="AO6" i="5"/>
  <c r="AO7" i="5"/>
  <c r="AO8" i="5"/>
  <c r="AO9" i="5"/>
  <c r="AO10" i="5"/>
  <c r="AO11" i="5"/>
  <c r="AO12" i="5"/>
  <c r="AO13" i="5"/>
  <c r="AO14" i="5"/>
  <c r="AO15" i="5"/>
  <c r="AO16" i="5"/>
  <c r="AO17" i="5"/>
  <c r="AO18" i="5"/>
  <c r="AO19" i="5"/>
  <c r="AO20" i="5"/>
  <c r="AO21" i="5"/>
  <c r="AO22" i="5"/>
  <c r="AO23" i="5"/>
  <c r="AO24" i="5"/>
  <c r="AO25" i="5"/>
  <c r="AO26" i="5"/>
  <c r="AO27" i="5"/>
  <c r="AO28" i="5"/>
  <c r="AO29" i="5"/>
  <c r="AO30" i="5"/>
  <c r="AO31" i="5"/>
  <c r="AO32" i="5"/>
  <c r="AO33" i="5"/>
  <c r="AO34" i="5"/>
  <c r="AO35" i="5"/>
  <c r="AO36" i="5"/>
  <c r="AO37" i="5"/>
  <c r="AO38" i="5"/>
  <c r="AO39" i="5"/>
  <c r="AO40" i="5"/>
  <c r="AO41" i="5"/>
  <c r="AO42" i="5"/>
  <c r="AO43" i="5"/>
  <c r="AO44" i="5"/>
  <c r="AO45" i="5"/>
  <c r="AO46" i="5"/>
  <c r="AO47" i="5"/>
  <c r="AO48" i="5"/>
  <c r="AO49" i="5"/>
  <c r="AO50" i="5"/>
  <c r="AO51" i="5"/>
  <c r="AO52" i="5"/>
  <c r="AO53" i="5"/>
  <c r="AO54" i="5"/>
  <c r="AO55" i="5"/>
  <c r="AO56" i="5"/>
  <c r="AO57" i="5"/>
  <c r="AO58" i="5"/>
  <c r="AO59" i="5"/>
  <c r="AO60" i="5"/>
  <c r="AO61" i="5"/>
  <c r="AO62" i="5"/>
  <c r="AO63" i="5"/>
  <c r="AO64" i="5"/>
  <c r="AO65" i="5"/>
  <c r="AO66" i="5"/>
  <c r="AN2" i="5"/>
  <c r="AN3" i="5"/>
  <c r="AN4" i="5"/>
  <c r="AN5" i="5"/>
  <c r="AN6" i="5"/>
  <c r="AN7" i="5"/>
  <c r="AN8" i="5"/>
  <c r="AN9" i="5"/>
  <c r="AN10" i="5"/>
  <c r="AN11" i="5"/>
  <c r="AN12" i="5"/>
  <c r="AN13" i="5"/>
  <c r="AN14" i="5"/>
  <c r="AN15" i="5"/>
  <c r="AN16" i="5"/>
  <c r="AN17" i="5"/>
  <c r="AN18" i="5"/>
  <c r="AN19" i="5"/>
  <c r="AN20" i="5"/>
  <c r="AN21" i="5"/>
  <c r="AN22" i="5"/>
  <c r="AN23" i="5"/>
  <c r="AN24" i="5"/>
  <c r="AN25" i="5"/>
  <c r="AN26" i="5"/>
  <c r="AN27" i="5"/>
  <c r="AN28" i="5"/>
  <c r="AN29" i="5"/>
  <c r="AN30" i="5"/>
  <c r="AN31" i="5"/>
  <c r="AN32" i="5"/>
  <c r="AN33" i="5"/>
  <c r="AN34" i="5"/>
  <c r="AN35" i="5"/>
  <c r="AN36" i="5"/>
  <c r="AN37" i="5"/>
  <c r="AN38" i="5"/>
  <c r="AN39" i="5"/>
  <c r="AN40" i="5"/>
  <c r="AN41" i="5"/>
  <c r="AN42" i="5"/>
  <c r="AN43" i="5"/>
  <c r="AN44" i="5"/>
  <c r="AN45" i="5"/>
  <c r="AN46" i="5"/>
  <c r="AN47" i="5"/>
  <c r="AN48" i="5"/>
  <c r="AN49" i="5"/>
  <c r="AN50" i="5"/>
  <c r="AN51" i="5"/>
  <c r="AN52" i="5"/>
  <c r="AN53" i="5"/>
  <c r="AN54" i="5"/>
  <c r="AN55" i="5"/>
  <c r="AN56" i="5"/>
  <c r="AN57" i="5"/>
  <c r="AN58" i="5"/>
  <c r="AN59" i="5"/>
  <c r="AN60" i="5"/>
  <c r="AN61" i="5"/>
  <c r="AN62" i="5"/>
  <c r="AN63" i="5"/>
  <c r="AN64" i="5"/>
  <c r="AN65" i="5"/>
  <c r="AN66" i="5"/>
  <c r="AM2" i="5"/>
  <c r="AM3" i="5"/>
  <c r="AM4" i="5"/>
  <c r="AM5" i="5"/>
  <c r="AM6" i="5"/>
  <c r="AM7" i="5"/>
  <c r="AM8" i="5"/>
  <c r="AM9" i="5"/>
  <c r="AM10" i="5"/>
  <c r="AM11" i="5"/>
  <c r="AM12" i="5"/>
  <c r="AM13" i="5"/>
  <c r="AM14" i="5"/>
  <c r="AM15" i="5"/>
  <c r="AM16" i="5"/>
  <c r="AM17" i="5"/>
  <c r="AM18" i="5"/>
  <c r="AM19" i="5"/>
  <c r="AM20" i="5"/>
  <c r="AM21" i="5"/>
  <c r="AM22" i="5"/>
  <c r="AM23" i="5"/>
  <c r="AM24" i="5"/>
  <c r="AM25" i="5"/>
  <c r="AM26" i="5"/>
  <c r="AM27" i="5"/>
  <c r="AM28" i="5"/>
  <c r="AM29" i="5"/>
  <c r="AM30" i="5"/>
  <c r="AM31" i="5"/>
  <c r="AM32" i="5"/>
  <c r="AM33" i="5"/>
  <c r="AM34" i="5"/>
  <c r="AM35" i="5"/>
  <c r="AM36" i="5"/>
  <c r="AM37" i="5"/>
  <c r="AM38" i="5"/>
  <c r="AM39" i="5"/>
  <c r="AM40" i="5"/>
  <c r="AM41" i="5"/>
  <c r="AM42" i="5"/>
  <c r="AM43" i="5"/>
  <c r="AM44" i="5"/>
  <c r="AM45" i="5"/>
  <c r="AM46" i="5"/>
  <c r="AM47" i="5"/>
  <c r="AM48" i="5"/>
  <c r="AM49" i="5"/>
  <c r="AM50" i="5"/>
  <c r="AM51" i="5"/>
  <c r="AM52" i="5"/>
  <c r="AM53" i="5"/>
  <c r="AM54" i="5"/>
  <c r="AM55" i="5"/>
  <c r="AM56" i="5"/>
  <c r="AM57" i="5"/>
  <c r="AM58" i="5"/>
  <c r="AM59" i="5"/>
  <c r="AM60" i="5"/>
  <c r="AM61" i="5"/>
  <c r="AM62" i="5"/>
  <c r="AM63" i="5"/>
  <c r="AM64" i="5"/>
  <c r="AM65" i="5"/>
  <c r="AM66" i="5"/>
  <c r="AL2" i="5"/>
  <c r="AL3" i="5"/>
  <c r="AL4" i="5"/>
  <c r="AL5" i="5"/>
  <c r="AL6" i="5"/>
  <c r="AL7" i="5"/>
  <c r="AL8" i="5"/>
  <c r="AL9" i="5"/>
  <c r="AL10" i="5"/>
  <c r="AL11" i="5"/>
  <c r="AL12" i="5"/>
  <c r="AL13" i="5"/>
  <c r="AL14" i="5"/>
  <c r="AL15" i="5"/>
  <c r="AL16" i="5"/>
  <c r="AL17" i="5"/>
  <c r="AL18" i="5"/>
  <c r="AL19" i="5"/>
  <c r="AL20" i="5"/>
  <c r="AL21" i="5"/>
  <c r="AL22" i="5"/>
  <c r="AL23" i="5"/>
  <c r="AL24" i="5"/>
  <c r="AL25" i="5"/>
  <c r="AL26" i="5"/>
  <c r="AL27" i="5"/>
  <c r="AL28" i="5"/>
  <c r="AL29" i="5"/>
  <c r="AL30" i="5"/>
  <c r="AL31" i="5"/>
  <c r="AL32" i="5"/>
  <c r="AL33" i="5"/>
  <c r="AL34" i="5"/>
  <c r="AL35" i="5"/>
  <c r="AL36" i="5"/>
  <c r="AL37" i="5"/>
  <c r="AL38" i="5"/>
  <c r="AL39" i="5"/>
  <c r="AL40" i="5"/>
  <c r="AL41" i="5"/>
  <c r="AL42" i="5"/>
  <c r="AL43" i="5"/>
  <c r="AL44" i="5"/>
  <c r="AL45" i="5"/>
  <c r="AL46" i="5"/>
  <c r="AL47" i="5"/>
  <c r="AL48" i="5"/>
  <c r="AL49" i="5"/>
  <c r="AL50" i="5"/>
  <c r="AL51" i="5"/>
  <c r="AL52" i="5"/>
  <c r="AL53" i="5"/>
  <c r="AL54" i="5"/>
  <c r="AL55" i="5"/>
  <c r="AL56" i="5"/>
  <c r="AL57" i="5"/>
  <c r="AL58" i="5"/>
  <c r="AL59" i="5"/>
  <c r="AL60" i="5"/>
  <c r="AL61" i="5"/>
  <c r="AL62" i="5"/>
  <c r="AL63" i="5"/>
  <c r="AL64" i="5"/>
  <c r="AL65" i="5"/>
  <c r="AL66" i="5"/>
  <c r="AK2" i="5"/>
  <c r="AK3" i="5"/>
  <c r="AK4" i="5"/>
  <c r="AK5" i="5"/>
  <c r="AK6" i="5"/>
  <c r="AK7" i="5"/>
  <c r="AK8" i="5"/>
  <c r="AK9" i="5"/>
  <c r="AK10" i="5"/>
  <c r="AK11" i="5"/>
  <c r="AK12" i="5"/>
  <c r="AK13" i="5"/>
  <c r="AK14" i="5"/>
  <c r="AK15" i="5"/>
  <c r="AK16" i="5"/>
  <c r="AK17" i="5"/>
  <c r="AK18" i="5"/>
  <c r="AK19" i="5"/>
  <c r="AK20" i="5"/>
  <c r="AK21" i="5"/>
  <c r="AK22" i="5"/>
  <c r="AK23" i="5"/>
  <c r="AK24" i="5"/>
  <c r="AK25" i="5"/>
  <c r="AK26" i="5"/>
  <c r="AK27" i="5"/>
  <c r="AK28" i="5"/>
  <c r="AK29" i="5"/>
  <c r="AK30" i="5"/>
  <c r="AK31" i="5"/>
  <c r="AK32" i="5"/>
  <c r="AK33" i="5"/>
  <c r="AK34" i="5"/>
  <c r="AK35" i="5"/>
  <c r="AK36" i="5"/>
  <c r="AK37" i="5"/>
  <c r="AK38" i="5"/>
  <c r="AK39" i="5"/>
  <c r="AK40" i="5"/>
  <c r="AK41" i="5"/>
  <c r="AK42" i="5"/>
  <c r="AK43" i="5"/>
  <c r="AK44" i="5"/>
  <c r="AK45" i="5"/>
  <c r="AK46" i="5"/>
  <c r="AK47" i="5"/>
  <c r="AK48" i="5"/>
  <c r="AK49" i="5"/>
  <c r="AK50" i="5"/>
  <c r="AK51" i="5"/>
  <c r="AK52" i="5"/>
  <c r="AK53" i="5"/>
  <c r="AK54" i="5"/>
  <c r="AK55" i="5"/>
  <c r="AK56" i="5"/>
  <c r="AK57" i="5"/>
  <c r="AK58" i="5"/>
  <c r="AK59" i="5"/>
  <c r="AK60" i="5"/>
  <c r="AK61" i="5"/>
  <c r="AK62" i="5"/>
  <c r="AK63" i="5"/>
  <c r="AK64" i="5"/>
  <c r="AK65" i="5"/>
  <c r="AK66" i="5"/>
  <c r="AJ2" i="5"/>
  <c r="AJ3" i="5"/>
  <c r="AJ4" i="5"/>
  <c r="AJ5" i="5"/>
  <c r="AJ6" i="5"/>
  <c r="AJ7" i="5"/>
  <c r="AJ8" i="5"/>
  <c r="AJ9" i="5"/>
  <c r="AJ10" i="5"/>
  <c r="AJ11" i="5"/>
  <c r="AJ12" i="5"/>
  <c r="AJ13" i="5"/>
  <c r="AJ14" i="5"/>
  <c r="AJ15" i="5"/>
  <c r="AJ16" i="5"/>
  <c r="AJ17" i="5"/>
  <c r="AJ18" i="5"/>
  <c r="AJ19" i="5"/>
  <c r="AJ20" i="5"/>
  <c r="AJ21" i="5"/>
  <c r="AJ22" i="5"/>
  <c r="AJ23" i="5"/>
  <c r="AJ24" i="5"/>
  <c r="AJ25" i="5"/>
  <c r="AJ26" i="5"/>
  <c r="AJ27" i="5"/>
  <c r="AJ28" i="5"/>
  <c r="AJ29" i="5"/>
  <c r="AJ30" i="5"/>
  <c r="AJ31" i="5"/>
  <c r="AJ32" i="5"/>
  <c r="AJ33" i="5"/>
  <c r="AJ34" i="5"/>
  <c r="AJ35" i="5"/>
  <c r="AJ36" i="5"/>
  <c r="AJ37" i="5"/>
  <c r="AJ38" i="5"/>
  <c r="AJ39" i="5"/>
  <c r="AJ40" i="5"/>
  <c r="AJ41" i="5"/>
  <c r="AJ42" i="5"/>
  <c r="AJ43" i="5"/>
  <c r="AJ44" i="5"/>
  <c r="AJ45" i="5"/>
  <c r="AJ46" i="5"/>
  <c r="AJ47" i="5"/>
  <c r="AJ48" i="5"/>
  <c r="AJ49" i="5"/>
  <c r="AJ50" i="5"/>
  <c r="AJ51" i="5"/>
  <c r="AJ52" i="5"/>
  <c r="AJ53" i="5"/>
  <c r="AJ54" i="5"/>
  <c r="AJ55" i="5"/>
  <c r="AJ56" i="5"/>
  <c r="AJ57" i="5"/>
  <c r="AJ58" i="5"/>
  <c r="AJ59" i="5"/>
  <c r="AJ60" i="5"/>
  <c r="AJ61" i="5"/>
  <c r="AJ62" i="5"/>
  <c r="AJ63" i="5"/>
  <c r="AJ64" i="5"/>
  <c r="AJ65" i="5"/>
  <c r="AJ66" i="5"/>
  <c r="AI2" i="5"/>
  <c r="AI3" i="5"/>
  <c r="AI4" i="5"/>
  <c r="AI5" i="5"/>
  <c r="AI6" i="5"/>
  <c r="AI7" i="5"/>
  <c r="AI8" i="5"/>
  <c r="AI9" i="5"/>
  <c r="AI10" i="5"/>
  <c r="AI11" i="5"/>
  <c r="AI12" i="5"/>
  <c r="AI13" i="5"/>
  <c r="AI14" i="5"/>
  <c r="AI15" i="5"/>
  <c r="AI16" i="5"/>
  <c r="AI17" i="5"/>
  <c r="AI18" i="5"/>
  <c r="AI19" i="5"/>
  <c r="AI20" i="5"/>
  <c r="AI21" i="5"/>
  <c r="AI22" i="5"/>
  <c r="AI23" i="5"/>
  <c r="AI24" i="5"/>
  <c r="AI25" i="5"/>
  <c r="AI26" i="5"/>
  <c r="AI27" i="5"/>
  <c r="AI28" i="5"/>
  <c r="AI29" i="5"/>
  <c r="AI30" i="5"/>
  <c r="AI31" i="5"/>
  <c r="AI32" i="5"/>
  <c r="AI33" i="5"/>
  <c r="AI34" i="5"/>
  <c r="AI35" i="5"/>
  <c r="AI36" i="5"/>
  <c r="AI37" i="5"/>
  <c r="AI38" i="5"/>
  <c r="AI39" i="5"/>
  <c r="AI40" i="5"/>
  <c r="AI41" i="5"/>
  <c r="AI42" i="5"/>
  <c r="AI43" i="5"/>
  <c r="AI44" i="5"/>
  <c r="AI45" i="5"/>
  <c r="AI46" i="5"/>
  <c r="AI47" i="5"/>
  <c r="AI48" i="5"/>
  <c r="AI49" i="5"/>
  <c r="AI50" i="5"/>
  <c r="AI51" i="5"/>
  <c r="AI52" i="5"/>
  <c r="AI53" i="5"/>
  <c r="AI54" i="5"/>
  <c r="AI55" i="5"/>
  <c r="AI56" i="5"/>
  <c r="AI57" i="5"/>
  <c r="AI58" i="5"/>
  <c r="AI59" i="5"/>
  <c r="AI60" i="5"/>
  <c r="AI61" i="5"/>
  <c r="AI62" i="5"/>
  <c r="AI63" i="5"/>
  <c r="AI64" i="5"/>
  <c r="AI65" i="5"/>
  <c r="AI66" i="5"/>
  <c r="AH2" i="5"/>
  <c r="AH3" i="5"/>
  <c r="AH4" i="5"/>
  <c r="AH5" i="5"/>
  <c r="AH6" i="5"/>
  <c r="AH7" i="5"/>
  <c r="AH8" i="5"/>
  <c r="AH9" i="5"/>
  <c r="AH10" i="5"/>
  <c r="AH11" i="5"/>
  <c r="AH12" i="5"/>
  <c r="AH13" i="5"/>
  <c r="AH14" i="5"/>
  <c r="AH15" i="5"/>
  <c r="AH16" i="5"/>
  <c r="AH17" i="5"/>
  <c r="AH18" i="5"/>
  <c r="AH19" i="5"/>
  <c r="AH20" i="5"/>
  <c r="AH21" i="5"/>
  <c r="AH22" i="5"/>
  <c r="AH23" i="5"/>
  <c r="AH24" i="5"/>
  <c r="AH25" i="5"/>
  <c r="AH26" i="5"/>
  <c r="AH27" i="5"/>
  <c r="AH28" i="5"/>
  <c r="AH29" i="5"/>
  <c r="AH30" i="5"/>
  <c r="AH31" i="5"/>
  <c r="AH32" i="5"/>
  <c r="AH33" i="5"/>
  <c r="AH34" i="5"/>
  <c r="AH35" i="5"/>
  <c r="AH36" i="5"/>
  <c r="AH37" i="5"/>
  <c r="AH38" i="5"/>
  <c r="AH39" i="5"/>
  <c r="AH40" i="5"/>
  <c r="AH41" i="5"/>
  <c r="AH42" i="5"/>
  <c r="AH43" i="5"/>
  <c r="AH44" i="5"/>
  <c r="AH45" i="5"/>
  <c r="AH46" i="5"/>
  <c r="AH47" i="5"/>
  <c r="AH48" i="5"/>
  <c r="AH49" i="5"/>
  <c r="AH50" i="5"/>
  <c r="AH51" i="5"/>
  <c r="AH52" i="5"/>
  <c r="AH53" i="5"/>
  <c r="AH54" i="5"/>
  <c r="AH55" i="5"/>
  <c r="AH56" i="5"/>
  <c r="AH57" i="5"/>
  <c r="AH58" i="5"/>
  <c r="AH59" i="5"/>
  <c r="AH60" i="5"/>
  <c r="AH61" i="5"/>
  <c r="AH62" i="5"/>
  <c r="AH63" i="5"/>
  <c r="AH64" i="5"/>
  <c r="AH65" i="5"/>
  <c r="AH66" i="5"/>
  <c r="F24" i="13"/>
  <c r="F22" i="13"/>
  <c r="F23" i="13"/>
  <c r="F21" i="13"/>
  <c r="G20" i="13"/>
  <c r="G11" i="13"/>
  <c r="F18" i="13" s="1"/>
  <c r="G3" i="13"/>
  <c r="F5" i="13" s="1"/>
  <c r="G8" i="13"/>
  <c r="F9" i="13" s="1"/>
  <c r="E2" i="13"/>
  <c r="AS2" i="5"/>
  <c r="AS3" i="5"/>
  <c r="AS4" i="5"/>
  <c r="AS5" i="5"/>
  <c r="AS6" i="5"/>
  <c r="AS7" i="5"/>
  <c r="AS8" i="5"/>
  <c r="AS9" i="5"/>
  <c r="AS10" i="5"/>
  <c r="AS11" i="5"/>
  <c r="AS12" i="5"/>
  <c r="AS13" i="5"/>
  <c r="AS14" i="5"/>
  <c r="AS15" i="5"/>
  <c r="AS16" i="5"/>
  <c r="AS17" i="5"/>
  <c r="AS18" i="5"/>
  <c r="AS19" i="5"/>
  <c r="AS20" i="5"/>
  <c r="AS21" i="5"/>
  <c r="AS22" i="5"/>
  <c r="AS23" i="5"/>
  <c r="AS24" i="5"/>
  <c r="AS25" i="5"/>
  <c r="AS26" i="5"/>
  <c r="AS27" i="5"/>
  <c r="AS28" i="5"/>
  <c r="AS29" i="5"/>
  <c r="AS30" i="5"/>
  <c r="AS31" i="5"/>
  <c r="AS32" i="5"/>
  <c r="AS33" i="5"/>
  <c r="AS34" i="5"/>
  <c r="AS35" i="5"/>
  <c r="AS36" i="5"/>
  <c r="AS37" i="5"/>
  <c r="AS38" i="5"/>
  <c r="AS39" i="5"/>
  <c r="AS40" i="5"/>
  <c r="AS41" i="5"/>
  <c r="AS42" i="5"/>
  <c r="AS43" i="5"/>
  <c r="AS44" i="5"/>
  <c r="AS45" i="5"/>
  <c r="AS46" i="5"/>
  <c r="AS47" i="5"/>
  <c r="AS48" i="5"/>
  <c r="AS49" i="5"/>
  <c r="AS50" i="5"/>
  <c r="AS51" i="5"/>
  <c r="AS52" i="5"/>
  <c r="AS53" i="5"/>
  <c r="AS54" i="5"/>
  <c r="AS55" i="5"/>
  <c r="AS56" i="5"/>
  <c r="AS57" i="5"/>
  <c r="AS58" i="5"/>
  <c r="AS59" i="5"/>
  <c r="AS60" i="5"/>
  <c r="AS61" i="5"/>
  <c r="AS62" i="5"/>
  <c r="AS63" i="5"/>
  <c r="AS64" i="5"/>
  <c r="AS65" i="5"/>
  <c r="AS66" i="5"/>
  <c r="F10" i="13" l="1"/>
  <c r="F17" i="13"/>
  <c r="F16" i="13"/>
  <c r="F4" i="13"/>
  <c r="F14" i="13"/>
  <c r="F12" i="13"/>
  <c r="F15" i="13"/>
  <c r="F7" i="13"/>
  <c r="F13" i="13"/>
  <c r="F6" i="13"/>
  <c r="F19" i="13"/>
  <c r="I33" i="5" l="1"/>
  <c r="R13" i="5" l="1"/>
  <c r="R23" i="5"/>
  <c r="AB23" i="5"/>
  <c r="AB58" i="5"/>
  <c r="AB18" i="5"/>
  <c r="AB37" i="5"/>
  <c r="AB13" i="5"/>
  <c r="I26" i="5"/>
  <c r="I29" i="5"/>
  <c r="I36" i="5"/>
  <c r="I15" i="5"/>
  <c r="I11" i="5"/>
  <c r="I22" i="5"/>
  <c r="I62" i="5"/>
  <c r="I55" i="5"/>
  <c r="I12" i="5"/>
  <c r="I35" i="5"/>
  <c r="I65" i="5"/>
  <c r="I61" i="5"/>
  <c r="I10" i="5"/>
  <c r="I54" i="5"/>
  <c r="I37" i="5"/>
  <c r="I16" i="5"/>
  <c r="I31" i="5"/>
  <c r="I13" i="5"/>
  <c r="I9" i="5"/>
  <c r="I42" i="5"/>
  <c r="I17" i="5"/>
  <c r="I45" i="5"/>
  <c r="I8" i="5"/>
  <c r="I43" i="5"/>
  <c r="I50" i="5"/>
  <c r="I7" i="5"/>
  <c r="I24" i="5"/>
  <c r="I46" i="5"/>
  <c r="I56" i="5"/>
  <c r="I32" i="5"/>
  <c r="I58" i="5"/>
  <c r="I23" i="5"/>
  <c r="I5" i="5"/>
  <c r="I2" i="5"/>
  <c r="I59" i="5"/>
  <c r="I51" i="5"/>
  <c r="I40" i="5"/>
  <c r="I30" i="5"/>
  <c r="I52" i="5"/>
  <c r="I38" i="5"/>
  <c r="I28" i="5"/>
  <c r="I57" i="5"/>
  <c r="I49" i="5"/>
  <c r="I47" i="5"/>
  <c r="I48" i="5"/>
  <c r="I6" i="5"/>
  <c r="I18" i="5"/>
  <c r="I60" i="5"/>
  <c r="I44" i="5"/>
  <c r="I41" i="5"/>
  <c r="I64" i="5"/>
  <c r="I25" i="5"/>
  <c r="I53" i="5"/>
  <c r="I27" i="5"/>
  <c r="I63" i="5"/>
  <c r="I19" i="5"/>
  <c r="I4" i="5"/>
  <c r="I3" i="5"/>
  <c r="I14" i="5"/>
  <c r="I34" i="5"/>
  <c r="I39" i="5"/>
  <c r="I66" i="5"/>
  <c r="I21" i="5"/>
  <c r="I2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64D5E3-B694-462E-911F-EAB636CBA29F}" keepAlive="1" name="Consulta - review_689875_20260213004540" description="Ligação à consulta 'review_689875_20260213004540' no livro." type="5" refreshedVersion="8" background="1" saveData="1">
    <dbPr connection="Provider=Microsoft.Mashup.OleDb.1;Data Source=$Workbook$;Location=review_689875_20260213004540;Extended Properties=&quot;&quot;" command="SELECT * FROM [review_689875_20260213004540]"/>
  </connection>
  <connection id="2" xr16:uid="{8DE97442-8850-4CF4-8AFE-AE2FC22D6D8B}" keepAlive="1" name="Consulta - SLR Covidence Data Extraction (66 files)" description="Ligação à consulta 'SLR Covidence Data Extraction (66 files)' no livro." type="5" refreshedVersion="8" background="1" saveData="1">
    <dbPr connection="Provider=Microsoft.Mashup.OleDb.1;Data Source=$Workbook$;Location=&quot;SLR Covidence Data Extraction (66 files)&quot;;Extended Properties=&quot;&quot;" command="SELECT * FROM [SLR Covidence Data Extraction (66 files)]"/>
  </connection>
</connections>
</file>

<file path=xl/sharedStrings.xml><?xml version="1.0" encoding="utf-8"?>
<sst xmlns="http://schemas.openxmlformats.org/spreadsheetml/2006/main" count="8437" uniqueCount="1682">
  <si>
    <t>Covidence #</t>
  </si>
  <si>
    <t>Study ID</t>
  </si>
  <si>
    <t>Title</t>
  </si>
  <si>
    <t>Study ID_1</t>
  </si>
  <si>
    <t>Lead author contact details</t>
  </si>
  <si>
    <t>Lead author affiliation</t>
  </si>
  <si>
    <t>Aim of study</t>
  </si>
  <si>
    <t>Closed Number of questions</t>
  </si>
  <si>
    <t>Open Number of questions</t>
  </si>
  <si>
    <t>Total Number of questions</t>
  </si>
  <si>
    <t>Start date</t>
  </si>
  <si>
    <t>End date</t>
  </si>
  <si>
    <t>Method of dissemination</t>
  </si>
  <si>
    <t>Study funding sources</t>
  </si>
  <si>
    <t>Population description</t>
  </si>
  <si>
    <t>Total number of participants</t>
  </si>
  <si>
    <t>Main results</t>
  </si>
  <si>
    <t>Main conclusions</t>
  </si>
  <si>
    <t>Key Terminology in Conclusions</t>
  </si>
  <si>
    <t>Categories focused</t>
  </si>
  <si>
    <t>Daems 2022</t>
  </si>
  <si>
    <t>W7RWWPW2</t>
  </si>
  <si>
    <t xml:space="preserve">Dutch literary translators’ use and perceived usefulness of technology - 
The role of awareness and attitude </t>
  </si>
  <si>
    <t>Joke Daems</t>
  </si>
  <si>
    <t>Ghent University, Flanders, Belgium</t>
  </si>
  <si>
    <t>2022</t>
  </si>
  <si>
    <t/>
  </si>
  <si>
    <t>To explore the factors influencing the potential adoption of technology by literary translators working with the Dutch language.</t>
  </si>
  <si>
    <t>-</t>
  </si>
  <si>
    <t>2019/08</t>
  </si>
  <si>
    <t>2019/10</t>
  </si>
  <si>
    <t>Professional associations networks</t>
  </si>
  <si>
    <t>Online</t>
  </si>
  <si>
    <t xml:space="preserve">The MUTUALIST project is a three- year postdoctoral research project (2020– 2022) funded by the Special Research Fund (BOF, Bijzonder Onderzoeksfonds) of Ghent University. </t>
  </si>
  <si>
    <t>Literary translators working from or into Dutch.</t>
  </si>
  <si>
    <t>1. The Awareness Gap
• General Awareness: Most translators are aware of basic translation technologies like translation memories (TMs), termbases, and MT.
• Modern Developments: There is a stark lack of awareness regarding recent advances that are most relevant to literary work, such as interactivity, adaptivity, and integration into translation environments.
• Educational Influence: Only 6% of respondents with a literary translation education received any technology training. The survey found a direct link between having received such training and being aware of (and therefore more likely to use) these tools.
2. Technology Usage Patterns
• General Tech (99% Adoption): Almost all respondents use digital tools such as word processors (96%), digital dictionaries, and search engines for their work.
• Translation Tech (18% Adoption): Only a small fraction uses specialized translation software (e.g., MemoQ, Trados Studio) for literary projects.
• Predictors of Use: Younger translators and those who already use translation technology for non-literary work are significantly more likely to use it for literary translation.
3. Perceived Usefulness vs. Reality
• Change in Perception: While only 18% currently use the technology, 70% to 90% of respondents indicated that these tools could "sometimes be useful" after they were provided with more information during the survey.
• Preferred Tools: Termbases and TMs are viewed far more positively than MT.
• Ideal Use Cases: Respondents see the most potential for technology in long texts, works by the same author, historical fiction (for consistency), and collaborative projects.
4. Key Barriers and Motivations (UTAUT Analysis)
• Performance Concerns: The primary reason for non-adoption is the belief that technology cannot capture "human" elements like style, humor, metaphors, rhythm, and cultural nuance.
• The "Sentence Salad" Risk: A major technical deterrent is that most software forces translators to work at the sentence level, which many feel disrupts the flow and "art" of the literary text.
• Attitudinal Factors: Some translators categorically reject MT, viewing it as "dangerous" to their linguistic knowledge or a threat that could "destroy the craft".
• Positive Motivations: Those who do use the tech cite benefits such as inspiration, alternative suggestions, and practical support like ensuring no sentences are accidentally skipped.
5. Desired Features for "Ideal" Tools
Translators expressed a desire for tools that are unobtrusive and move beyond current technical limitations. Key requested features include:
• Access to a large database of existing literary translations to see words in a creative context.
• The ability to work at the document or paragraph level rather than being confined to segments.
• Better support for specialized elements like poetry visualization and footnotes.</t>
  </si>
  <si>
    <t>1. The Persistent Awareness Gap
The most striking conclusion is that lack of awareness remains a major obstacle to technology adoption in the literary sector, more than fifteen years after it was first identified in broader translation studies.
• Translators are generally aware of basic tools like translation memories (TM) and termbases, but they are largely unaware of recent advances like interactivity and adaptivity, which are actually the features most relevant to creative work.
• Some respondents shifted their "prejudices" toward technology after receiving information during the survey, suggesting that familiarity, not active rejection, is the main reason for low usage.
2. Disconnect Between General and Specific Tech
The study concludes that there is a stark divide in how literary translators use technology:
• 99% use general technology (word processors, digital dictionaries), proving they are not "Luddites".
• However, only 18% use specialized translation technology (CAT tools or MT) for their literary projects.
• The strongest predictor for using technology in literary work is whether the translator already uses it for non-literary work.
3. Education as a Lifelong Process
A key conclusion is that education and training are decisive factors in technology acceptance.
• Translators who received technology training were significantly more likely to use these tools in their professional practice.
• Because technology evolves so rapidly, the researcher concludes that "translation education must be understood as a lifelong process" rather than something that ends at graduation.
4. Creative Barriers and the "Speed" Paradox
The study concludes that literary translators view technology through a different lens than institutional or technical translators:
• Speed is not a priority: In literary translation, "speed" is often viewed as less important than the time needed to consider every word. Consequently, tools marketed for "efficiency" are often met with skepticism.
• Creativity Concerns: Translators fear that technology—especially MT—cannot capture style, humor, or cultural nuance, and that working at the sentence level disrupts the artistic flow of a document.
• The "Amanuensis" Model: The ideal relationship, as suggested by the conclusions, is for the computer to act as a supportive assistant (an amanuensis) that magnifies human productivity without "dehumanizing" the text or taking control away from the artist.
5. Potential for High-Quality Niche Tools
Despite the current low usage, the survey concludes there is a high potential for future adoption if tools are redesigned for the creative process:
• 70% to 90% of respondents believe specialized technology could be "sometimes useful" if it were more adapted to their needs.
• Future tools should move beyond the sentence level, offer easy access to large literary databases, and remain as unobtrusive as possible.</t>
  </si>
  <si>
    <t>• Lack of awareness: Identified as a persistent and primary reason for the non-adoption of translation tools, even more than fifteen years after it was first highlighted in the field.
• Lifelong process: A term used to describe the necessary evolution of translation education, which must continue throughout a professional's career due to the rapid development of technology.
• Performance expectancy: A core UTAUT concept used to group arguments about whether technology supports the translation process through inspiration, solutions, or productivity.
• Creativity and Autonomy: These terms represent the core values literary translators fear will be lost or negatively impacted by current translation software.
• Increased speed: Often cited as a benefit in other sectors, the conclusion notes that for literary translators, this is "not necessarily desirable".
• Translator’s amanuensis: A concept (originally from Martin Kay) describing a "cooperative man-machine system" where the human retains control and the computer acts as a supportive assistant.
• Interactive, adaptive translation environments: Refers to modern systems designed to learn from a translator's changes in real-time, which the author concludes may better meet the needs of creative professionals.
• Beyond the sentence level: Identifies a crucial technical requirement for future literary tools, as translators find working on isolated segments too limiting for artistic flow.
• Individual variation: Highlights that there is no "one-size-fits-all" attitude, as responses to technology range from categorical refusal to active software development by the translators themselves.
• Fun: Strikingly, this term was used by both critics (who feared technology would remove the joy of the craft) and proponents (who felt it could make the process more engaging).</t>
  </si>
  <si>
    <t>Linguistic challenges; Technical aspects; Training needs; Ethical aspects</t>
  </si>
  <si>
    <t>Łukasik 2024</t>
  </si>
  <si>
    <t>The Future of the Translation Profession in the Era of Artificial Intelligence. Survey Results from Polish Translators, Translation Trainers, and Students of Translation</t>
  </si>
  <si>
    <t>IAM8WMAZ</t>
  </si>
  <si>
    <t>Marek Łukasik
E-mail: marek.lukasik@upsl.edu.pl
ORCID: 0000-0002-0103-3715</t>
  </si>
  <si>
    <t>Pomeranian University in Słupsk, Poland</t>
  </si>
  <si>
    <t>Poland</t>
  </si>
  <si>
    <t xml:space="preserve">To explore the views of the existing and emerging AI-powered translation tools on the translation profession, and to measure the level of knowledge/ competence regarding the capabilities of GenAI tools. </t>
  </si>
  <si>
    <t>9</t>
  </si>
  <si>
    <t>1</t>
  </si>
  <si>
    <t>10</t>
  </si>
  <si>
    <t>2024/01</t>
  </si>
  <si>
    <t>2024/02</t>
  </si>
  <si>
    <t>Social media</t>
  </si>
  <si>
    <t>1. Use of AI-Powered Tools
• Adoption Rates: Exactly 50% of all participants use AI-powered chatbots. Adoption is slightly higher among translation students (58%) than among professional translators (47.5%).
• Tool Preference: ChatGPT is the dominant tool, used by 100% of those who admit to using AI chatbots. Only 15% of users hold a premium account.
• Usage by Task: The most common application for generative AI (GenAI) is translation proper (66%), followed by error correction (56%), register fine-tuning (53%), and terminology extraction (44%).
2. The Competence Gap and Frequency
• Skill Deficits: The researcher identified a significant competence gap ranging from 35% to 58% across various tasks. Notably, 58% of respondents lack the knowledge or skills to perform terminology extraction using GenAI.
• Frequency and Trust: Daily use of GenAI for all translation-related tasks is very low at only 3%. Furthermore, 68% of those using GenAI for translation do so "rarely", which the author suggests indicates a lack of trust in the tools.
3. Ethics and Confidentiality
• Confidentiality: Opinions on whether AI use breaches confidentiality are divided: 25% believe it is a breach, 25% believe it is not, and 30% have no attitude or knowledge on the matter.
• Work Ethics: A majority (55%) of respondents claim that using AI-powered tools does not breach their work ethics, while 22.5% believe it does.
4. Opinions on the Future of the Profession
The survey revealed a notable split in perspective regarding whether human translators (HT) will remain essential or be replaced by AI:
• Overall Outlook: 52% believe human translators will always be essential, while 43% foresee a future where AI can fully replace them.
• The Professional vs. Student Split:
    ◦ Professional Translators: Nearly half (48%) predict that AI will fully replace humans, which may be due to a greater awareness of the capabilities of modern tools.
    ◦ Students: A majority (58%) believe humans will remain indispensable; however, the author notes that 43% of this group have never actually used a GenAI tool.
5. Qualitative Insights (Open-ended Responses)
Participants provided further explanations for their views on replacement:
• Arguments for AI Replacement: These revolve around the rapid progress of the technology, its cost-effectiveness, and the shift of the human role toward mere supervision. Some respondents noted that AI translations are already "almost perfect" even for complex languages like Polish.
• Arguments for Human Indispensability: Proponents of human necessity cited the unique human ability to translate emotions, nuances, and cultural cues. They also highlighted the "insurmountable" issue of AI hallucinations and the legal requirement for human verification in fields like sworn translation.</t>
  </si>
  <si>
    <t>1. Redefinition of the Translator’s Role
The author concludes that the constitutive elements of the translation system have fundamentally changed. The human translator is increasingly viewed as an agent who operates the system—responsible for pre-editing, tool operation, and post-editing—rather than just the primary creator of the text. In some instances, the machine translation tool may replace the human altogether.
2. The Competence and Knowledge Gap
A major conclusion is that the current use of GenAI remains modest due to a significant knowledge gap among both professional translators and students. Specifically:
• Many practitioners lack the skills for advanced tasks like terminology extraction.
• There is a notable lack of awareness regarding data security, privacy policies, and work ethics.
• This deficiency calls for an urgent revision of university study programmes and the creation of upskilling workshops that cover AI advancements, hands-on practice, and legal frameworks like the EU AI Act.
3. Professional vs. Academic Perceptions
The study concludes that professional translators are more pessimistic about their future than students; nearly half of professionals foresee a future where AI fully replaces humans. The author suggests this stems from the professionals' greater awareness of what modern tools can actually do, whereas student optimism may be a byproduct of their lack of experience with the technology.
4. Illusory Cost-Effectiveness and Sustainability
The researcher concludes that the perceived cost-effectiveness of AI translation may be illusory. Low-quality output leads to time-consuming post-editing, which limits overall efficiency. Furthermore, the industry is encouraged to evaluate the environmental sustainability of AI—noting its high energy and water consumption—rather than focusing solely on performance parameters.
5. Evolution of Translation Studies as a Discipline
Finally, the study concludes that the scientific discipline of translation studies is shifting its focus. While it historically centered on the human translator and the text, it is now becoming increasingly interdisciplinary and technology-centric, focusing on AI, corpora, and localisation tools. This shift requires the adoption of research methods previously reserved for the purely technological domain.</t>
  </si>
  <si>
    <t>• Generative AI (GenAI): Identified as the latest "transformative wave" facing the profession, following the earlier neural machine translation (NMT) revolution.
• Knowledge gap: A critical deficiency observed in both professional translators and students regarding the effective use of AI, which the author concludes is a primary reason for its currently "modest" use.
• Ethical and legal considerations: The conclusion highlights several specific challenges, including copyright, data protection, bias, and the ‘black box’ phenomenon.
• EU’s AI Act and AI Liability Directive: Specific legal frameworks that the author argues must be integrated into future translator training and university curricula.
• Agent: The redefined role of the human translator within the system; rather than being the sole creator, they become the operator who manages the technology.
• Pre-edition and Post-edition: The two specific human interventions in the automated translation loop where the translator prepares the text for the machine and corrects the final output.
• Constitutive elements of the translation system: A term used to describe the fundamental components of the translation process (translator, tool, and text) that have been altered by AI.
• Interdisciplinary: The shifting nature of translation studies as a scientific discipline, which now increasingly incorporates research methods from the technological domain.
• CAT tools: Computer-assisted translation tools, which are accelerating the transformation of the field through the gradual integration of generative AI features.
• Upskilling courses and workshops: The proposed educational response to the AI revolution, intended for key stakeholders to address both the technical and ethical limitations of the technology.</t>
  </si>
  <si>
    <t>Research 2025</t>
  </si>
  <si>
    <t>EUROPEAN LANGUAGE INDUSTRY SURVEY 2025</t>
  </si>
  <si>
    <t>Q3MR8MBQ</t>
  </si>
  <si>
    <t>ELIS Research
E-mail: research@elis-survey.org</t>
  </si>
  <si>
    <t>2025/03</t>
  </si>
  <si>
    <t>The survey covers market trends, expectations and concerns, challenges and obstacles, as well as changes in business practices. It is open to language service companies (LSCs), independent language 
professionals, training institutes and their students, language service buyers, as well as private and public translation departments.</t>
  </si>
  <si>
    <t>Personal contacts; Social media; Professional associations networks</t>
  </si>
  <si>
    <t>Economic Sustainability and Sentiment
• Declining Viability: For the first time in the survey's history, the belief that freelancing is a viable long-term career option has dropped below 50%.
• Junior Crisis: The most junior professionals (less than two years of experience), who were highly confident in previous years, have seen their confidence in financial sustainability plummet to 41%.
• Considering Exit: Approximately 23% of independent professionals are considering ending their freelance activity due to the deteriorating work environment.
• Income Satisfaction: Only 57% of respondents reported earning enough from their freelance work, with translators and those with mixed profiles reporting lower satisfaction than interpreters.
Market Performance and Pricing
• Revenue and Pricing Drop: Professionals reported a notable decrease in their 2024 revenue (a score of -0.31 on a -2 to +2 scale) and expect further price erosion in 2025.
• Stagnation Expectations: While language companies expect their activity to shrink, independent professionals predict their own activity will stagnate in 2025.
• Increased Competition: Despite an expected slight drop in the number of providers, professionals believe competition will increase significantly, heightening price pressure.
Impact of Technology and AI
• Widespread MT Use: Machine translation (MT) is now used in more than 50% of professional translation work.
• Voluntary Adoption: Professionals are increasingly using MT on their own initiative; 69% now choose to use it, and 29% use it in at least half of their projects.
• Generative AI Integration: AI has reached a 43% actual use rate among independent professionals, primarily serving as an alternative to dedicated MT or as a tool for editing and quality control.
• The "Post-Editing" Shift: Professionals express deep frustration over the generalised move from human translation to discounted post-editing, which they feel devalues their work.
Stress Factors and Relationship with Clients
• "Reckless" AI Usage: Professionals blame the indiscriminate use of AI by clients for lower work volumes and the loss of income.
• Lack of Negotiating Power: It is reported as virtually impossible to negotiate rates, payment terms, or general conditions with large language companies (LSCs), leading to a sense of being "trapped" in the system.
• Client Shift: Due to difficult negotiations and price pressure from large LSCs, professionals are increasingly intending to accelerate a shift towards direct clients.
Professional Reactions
• Upskilling: To combat the decline, 72% of professionals plan to acquire new skills, and 57% are considering developing a different main activity.
• Training Focus: Continuous Professional Development (CPD) in 2024 focused heavily on subject matter expertise, followed by technology, generative AI, and sales/marketing.</t>
  </si>
  <si>
    <t>• Viable long-term career option: A central term used to describe the declining belief among freelancers that their profession is sustainable; for the first time in the survey's history, this metric has dropped below the 50% mark.
• Structural change: The term used by a majority (77%) of industry players to describe the current downturn, indicating that the decline is not temporary but a fundamental shift in how the industry operates.
• Slippery slope: A recurring metaphor in the report used to describe the continuous downward trend in pricing, activity levels, and professional sentiment.
• Indiscriminate use of technology: Refers to the "reckless" adoption of AI and machine translation by clients to cut costs, even in cases where the output is considered sub-standard.
• Discounted post-editing: A term describing the generalised move from full-service human translation to lower-valued editing of machine-generated text, which freelancers identify as a primary cause of income loss.
• Wakeup call: Used by the researchers to highlight the alarming nature of the data, particularly regarding the plummeting confidence of junior professionals.
• Financial sustainability: A core concern regarding whether freelance earnings are sufficient to support a long-term career and maintain retirement provisions.
• Damage control mode: Describes the current reactive state of many independent professionals and SMEs who are focused on surviving the downturn rather than strategic growth.
• Lack of control: A term appearing in open-ended comments to describe the frustration of freelancers who feel "trapped" and unable to negotiate rates or conditions with large language companies.
• Price erosion: Used to describe the ongoing decline in rates and the expectation that competition will continue to drive prices down in 2025.
• Market on a slippery slope: The title of the market performance section, reflecting the unmet expectations of previous years and the toning down of future projections.
• Exit / Ending freelance career: Nearly one in four (23%) independent professionals is using this terminology to describe their current intentions to leave the industry.</t>
  </si>
  <si>
    <t>Technical aspects; Working conditions; Ethical aspects</t>
  </si>
  <si>
    <t>Noriega-Santiáñez 2025</t>
  </si>
  <si>
    <t>Technology and GenAI adoption among literary translators in Spain: a survey study on uses, perceptions and attitudes</t>
  </si>
  <si>
    <t>PNWARHTN</t>
  </si>
  <si>
    <t>Laura Noriega-Santiáñez
E-mail: laura.noriega@uma.es
ORCID: 0000-0001-7245-2629</t>
  </si>
  <si>
    <t>IUITLM, University of Málaga</t>
  </si>
  <si>
    <t>Spain</t>
  </si>
  <si>
    <t>To bring together data to analyse the degree of technology adoption 
among professional literary translators in Spain (including the use of LLMs and GenAI), their perceptions of the benefits and limitations of such technologies, and their view on the prospects for GenAI in the publishing industry.</t>
  </si>
  <si>
    <t>20</t>
  </si>
  <si>
    <t>2</t>
  </si>
  <si>
    <t>22</t>
  </si>
  <si>
    <t>2025/02</t>
  </si>
  <si>
    <t>2025/04</t>
  </si>
  <si>
    <t>Social media; Professional associations networks</t>
  </si>
  <si>
    <t>This work has been carried out within the framework of a predoctoral contract granted by the University of Malaga (PPRO-A3.1-2023-01) and was partially supported by the R&amp;D projects VIP II (ref. no. PID2020-112818GB-100/AEI/10.13039/501100011033), RECOVER (ref. no. ProyExcel_00540), DIFARMA (ref. no. HUM106-G-FEDER, 2024-2025), and PROMOTUR (ref. no. PID2024-160929OB-I00).</t>
  </si>
  <si>
    <t>Literary translators</t>
  </si>
  <si>
    <t>1. Adoption of Tools and Resources
The study highlights a clear transition from traditional to digital workflows, though legacy tools remain in use.
• Technological Tools: Adoption is nearly universal for certain digital resources. 100% of respondents use online dictionaries or databases, and 96.1% utilise word processors. Use of Machine Translation (MT) systems has risen significantly to 47.1%, a sharp increase compared to previous benchmark studies. CAT tools (31.4%) and chatbots (23.5%) have a more limited but growing presence.
• Traditional Resources: While 21.6% of translators use no traditional resources at all, many still rely on printed dictionaries (60.6%) and style/grammar manuals (51%) during the translation and documentation stages.
2. Frequency of Use by Workflow Stage
• Technological resources are used "Always" or "Frequently" across all stages of the workflow: documentation, translation, revision, and proofreading.
• Traditional resources are most frequently employed during the translation stage, followed by revision and proofreading, and are used least often for documentation.
3. Experience with and Impact of GenAI
• Professional Impact: Almost half (49%) of the participants reported that their work has not yet been affected by GenAI. However, 27.5% reported a negative impact on their professional setting (rates, workflow, or quality).
• Market Reality: Most translators (56.9%) are unaware if publishers use GenAI, and 86.3% have never been offered work post-editing literary texts produced by AI or MT systems.
4. Attitudes and Professional Sentiment
• Comfort Levels: While 45.1% of respondents always feel comfortable with general technological tools, a vast majority (62.7%) stated they never feel comfortable using GenAI specifically in literary translation.
• General Perception: Scepticism prevails, with 64.7% of translators holding a negative opinion regarding the inclusion of GenAI in publishing processes.
• Willingness to Learn: Opinions are split on upskilling; while 37.3% are absolutely willing to learn more about GenAI, 31.4% only want essential information, and another 31.4% have no interest in learning about it at all.
5. Perceived Benefits and Concerns
• Limited Benefits: Nearly half (47.1%) of the participants believe there are no advantages to using GenAI in their field. The few who identified benefits cited stylistic suggestions (33.3%), documentation support (33.3%), and time-saving (25.5%).
• Major Concerns: Every respondent expressed some level of worry. The most prominent concerns are:
    ◦ Loss of translation quality (94.1%).
    ◦ Ethical and legal issues, such as copyright and data privacy (88.2%).
    ◦ Poor working conditions and reduced rates (88.2%).
    ◦ Reduced recruitment of human translators (84.3%).
    ◦ Environmental impact of resource-intensive AI models (70.6%).
6. Future Prospects for the Industry
When asked to foresee the future of AI in publishing, the participants' views were categorised into five perspectives:
• Pragmatic (29.4%): The largest group expects a shift where AI is used for commercial works or routine tasks, but human quality remains a priority for high-level literature.
• Pessimistic (25.5%): Fear that AI will devalue expertise and lead to poor-quality machine-translated texts.
• Neutral (23.5%): Anticipate increased use but are unsure of the ultimate outcome.
• Critical (11.7%): View AI as a "bubble" or a dangerous tool used by tech companies to exploit workers.
• Optimistic (9.9%): A small minority see GenAI as just another useful tool for research and context-appropriate language use.</t>
  </si>
  <si>
    <t>1. Widespread Technological Integration vs Legacy Practices
The researchers conclude that technology is now far more frequent and widespread across all stages of the literary translation process than traditional methods. Although traditional tools, such as printed dictionaries and manuals, are still used—particularly during the translation and documentation stages—they are no longer the primary resources. The study reveals a wider acceptance of technological tools in the Spanish market compared to previous benchmark studies, indicating a shift in the professional landscape.
2. Notable Rise of Machine Translation (MT)
A key conclusion is the significant rise in the integration of MT systems into the workflow of literary translators. With nearly half of the respondents using systems like DeepL or Google Translate, the authors note a shift in mentality likely caused by the increased sophistication of these tools and their global adoption in the broader translation market.
3. Resistance to Generative AI
In contrast to general technology, the sources conclude that AI-based tools like chatbots are rarely perceived as allies. Key findings regarding this resistance include:
• Comfort Gap: While translators feel at ease with general word processors and databases, the vast majority (62.7%) feel uncomfortable applying AI to their creative work processes.
• Ethical Priority: For most practitioners, ethical concerns outweigh any perceived benefits. Concerns regarding the loss of translation quality, copyright infringement, and the standardisation of literary language are paramount.
• Limited Perceived Utility: The benefits of GenAI are seen as very restricted, mostly confined to documentation support and providing stylistic suggestions rather than aiding the core creative act.
4. Professional Anxiety and the "Pragmatic" Future
The study warns of a deep-seated unease regarding the impact of GenAI on future careers. Much of the pessimism and critical sentiment is rooted in ongoing poor working conditions, such as declining rates and increased pressure on working hours. Despite this, the largest group of participants holds a "pragmatic" view, envisioning a future where human expertise must collaborate with technological systems, even if they remain wary of the outcome.
5. Urgent Need for Regulation and Training
The authors conclude with a call for action in two specific areas:
• Regulation: There is an urgent need to regulate AI practices in publishing to ensure that technological progress is both ethical and economically viable for human creators.
• Education: Given that the predominant attitude among those willing to engage with the technology is a desire for more knowledge, the study suggests a need for proper training to help translators navigate the intersection of their physical and digital environments effectively.</t>
  </si>
  <si>
    <t>• Technology adoption: The core focus of the study, which the authors conclude is at a "significant degree" among Spanish literary translators across all stages of the translation process.
• Traditional tools: Specifically dictionaries and manuals, which the conclusion notes are still used primarily during the translation and documentation stages.
• Machine Translation (MT) systems: The sources conclude there has been a "notable rise" in the integration of these systems into the literary workflow.
• Ally: A term used to describe how chatbots and other AI-based tools are "seldom perceived" by practitioners, despite their presence in the market.
• Ethical concerns: The primary factor for many translators, where worries about quality and working conditions outweigh the possible advantages of AI.
• Pragmatic views: The most common outlook for the future, which envisages a collaboration between technological systems and human experience.
• Poor working conditions: The underlying cause for much of the pessimism in the sector, specifically referring to issues with rates and working hours.
• Regulation: The authors' concluding call for action to ensure that technological progress in the publishing industry remains "ethical and viable".
• Physical and digital environments: The term used to describe the intersection where modern literary translators now conduct their narratives, workflows, and daily experiences.</t>
  </si>
  <si>
    <t>Flanagan 2025</t>
  </si>
  <si>
    <t>Technology adoption among Danish translators: Practices, perceptions and prospects</t>
  </si>
  <si>
    <t>TMMWYHIZ</t>
  </si>
  <si>
    <t>Marian Flanagan
E-mail: marianflanagan@hum.ku.dk
ORCID: 0000-0003-2230-4972</t>
  </si>
  <si>
    <t>University of Copenhagen</t>
  </si>
  <si>
    <t>Denmark</t>
  </si>
  <si>
    <t>The study explores the changing translation technology landscape through four research questions:
RQ1: Which translation technologies are used by Danish translators, and to what extent?
RQ2: What factors influence Danish translators’ decisions to adopt or reject specific translation technologies?
RQ3: What are Danish translators’ attitudes and expectations regarding future developments in translation technology?
RQ4: How do Danish translators’ expectations align with emerging industry trends and predictions?</t>
  </si>
  <si>
    <t>2023/11</t>
  </si>
  <si>
    <t>Translators who are members if the Danish Association of Certified Translators and Interpreters</t>
  </si>
  <si>
    <t>Technology Adoption and Usage Rates
The study identifies varying levels of adoption based on the type of tool:
• CAT Tools (86% usage): These remain the industry standard in Denmark. Nearly half of the respondents (48%) rely on them for every task. Trados Studio is the most prevalent tool (72%), followed by memoQ (40%) and Phrase (36%).
• Machine Translation (54% usage): While more than half activate MT within their CAT tools occasionally, only 9% use it consistently.
• Browser-Based MT (47% usage): These tools typically serve as supplementary aids rather than core workflow components.
• Generative AI (6% usage): Adoption of tools like ChatGPT for translation was notably low during the study period, reflecting a lack of knowledge regarding their implementation. However, 26% of translators plan to adopt new tools in the coming year, with nearly half of that group specifically targeting GenAI applications.
Factors Influencing Adoption and Rejection
The researchers identified six primary drivers behind the translators' technology choices:
• Efficiency and Productivity: This is the primary motivator, with respondents highlighting faster workflows and terminology consistency.
• Professional Identity and Control: Many translators avoid MT to retain creative satisfaction and "intellectual agency". Some expressed discomfort with being "trapped" or "straight-jacketed" by machine suggestions.
• Data Security and Confidentiality: This is a major barrier in the Danish market; 42% of respondents avoid GenAI and 40% avoid browser-based MT due to concerns over sensitive client data and GDPR compliance.
• Client Demands: Decisions are often a matter of compliance rather than preference. While some agencies mandate CAT or MTPE workflows, others explicitly prohibit MT use for professional assignments.
• Genre Suitability: Translators make pragmatic, task-specific choices. Tools are favoured for standardised, repetitive texts (like GDPR or website phrases) but rejected for creative or culturally sensitive language.
• Technical Knowledge Gap: A significant barrier to adoption is a lack of operational skills (32.25%) and technical knowledge (41.75%) on how to integrate these tools meaningfully.
Perceptions of the Future Role of the Translator
The study reveals a professional landscape in transition:
• Role Transformation: A dominant result is the expected shift from content creator to language reviser. Many respondents anticipate that post-editing will become the norm, though some find this prospect "boring" or "dull".
• Market Bifurcation: Respondents foresee a two-tier market: a standard segment dominated by cheap, fast MTPE and a premium segment for high-quality human translation.
• Sustainability and Optimism: Paradoxically, despite concerns about price pressure and automation, many Danish translators expressed confidence in their professional future, particularly those with direct client relationships. This contrasts with the broader European average, where only 47% of freelancers feel their careers are sustainable.</t>
  </si>
  <si>
    <t>"Careful Pragmatism" and Selective Adoption
The researchers conclude that Danish translators are neither technologically averse nor uncritical adopters; instead, they demonstrate "careful pragmatism". Their integration of technology is highly selective, driven by a complex calculation of client demands, data security requirements (particularly GDPR), and the preservation of professional identity.
The Transformation of Professional Identity
A primary conclusion is that the core role of the translator is shifting from a "content creator" to a "language reviser".
• Loss of Agency: The sources conclude that this shift risks diminishing creative satisfaction and translator agency, as professionals feel "straight-jacketed" or "trapped" by machine suggestions.
• Dulling of the Craft: Many professionals conclude that a future dominated by post-editing will be "duller" and "really boring," potentially leading to early retirement for those passionate about the creative act of translation.
Emergence of a Two-Tier Market
The study concludes that the industry is fracturing into two distinct segments: a "standard" segment focused on fast, cheap machine translation post-editing (MTPE) and a "premium" segment that values high-quality human expertise. While this creates a niche for specialists, the researchers conclude it also exerts significant downward pressure on prices, as clients often fail to recognise the human effort required even for "high-match" automated tasks.
Confidence vs. Economic Sustainability
Unlike the broader European average where freelancers feel increasingly insecure, the study concludes that Danish translators remain comparatively optimistic and confident in their adaptability. However, this optimism is tempered by the conclusion that the profession’s sustainability depends on moving away from "digital Taylorism"—where work is broken into monitored micro-tasks—and toward models that value the translator as a cultural mediator and domain expert.
A Future of "Augmented Translation"
The overarching conclusion is a call for "human-centered augmented translation" (HCAMT).
• Empowerment over Emulation: The sources suggest that technology should be designed to amplify human capacity rather than simply replace functions, allowing machines to serve as "co-agents" while humans retain final oversight and control.
• Strategic Adaptation: The researchers conclude that the path forward requires translators to be positioned as active co-designers of technology, ensuring that future tools are built from within the profession rather than imposed by external financial logic.</t>
  </si>
  <si>
    <t>• Careful pragmatism: The primary term used to describe how Danish translators navigate change—neither rejecting new tools outright nor embracing them uncritically.
• Sociotechnical forces: Refers to the complex intersection of social, economic, and technological factors that are increasingly shaping translation work.
• Crucial inflection point: A term used to describe the current state of the profession as it faces significant, potentially permanent shifts due to automation.
• Linguistic expertise, technological literacy, and consultive skills: The three core competencies that the authors conclude must be blended for translators to remain central to high-quality text production.
• Sustainable working conditions: A concluded requirement for the future of the profession, alongside better tools and inclusive policy decisions.
• Translator agency: The ability of professionals to maintain control and decision-making power over their own work, which the authors identify as a central challenge in the automation age.
• Human-centered augmented approaches: A proposed technological and research model that focuses on tools designed to empower humans rather than simply replace functions.
• Sustainable pricing models: Financial frameworks that the authors conclude must be explored to ensure that translator expertise is appropriately valued in the market.
• Educational frameworks: The structured training programs needed to prepare current and future professionals for emerging market demands.
• Automated workflows: The technological environment in which the authors conclude translators must find ways to thrive and maintain control.</t>
  </si>
  <si>
    <t>Linguistic challenges; Technical aspects; Training needs; Working conditions; Ethical aspects</t>
  </si>
  <si>
    <t>Sakamoto 2025</t>
  </si>
  <si>
    <t>D2H6T6XY</t>
  </si>
  <si>
    <t>Translators’ Work-Related Quality of Life</t>
  </si>
  <si>
    <t>Akiko Sakamoto
E-mail: akiko-s@kansai-u.ac.jp</t>
  </si>
  <si>
    <t>Faculty of Foreign Languages, Kansai University, Japan</t>
  </si>
  <si>
    <t>UK</t>
  </si>
  <si>
    <t>The main aim of the study is not just to measure translators’ work satisfaction and motivation levels, but also to investigate what factors are influencing them, using various statistical methods. We are particularly interested in the impact of (1) translators’ personal and professional attributes on their work satisfaction and motivations, and (2) the use of translation technologies, particularly the practice of MTPE, on their work satisfaction and motivation.</t>
  </si>
  <si>
    <t>77</t>
  </si>
  <si>
    <t>2024/08/15</t>
  </si>
  <si>
    <t>2024/09/16</t>
  </si>
  <si>
    <t>This work was supported by the Japan Society for the Promotion of Science, Grants-in-Aid for Scientific Research (JSPS KAKENHI) Grant Number 22K20040</t>
  </si>
  <si>
    <t>Institute of Translation &amp; Interpreting members</t>
  </si>
  <si>
    <t>1. Overall Work Satisfaction and Benchmarking
• Moderately High Satisfaction: Respondents' general quality of working life (T-WRQoL) and translator-specific satisfaction (T-SAT) were found to be moderately high.
• Benchmark Performance: Compared to benchmark scores of UK academic staff, translators scored higher in most categories, including general wellbeing, home-work interface, and working environment.
• The Control Deficit: The only category where translators scored significantly lower than UK academics was Control at Work (2.91 vs 3.45), suggesting that freelancers feel they lack power in how their work is arranged and conducted.
2. Critical Areas of Dissatisfaction
While general satisfaction is high, several specific areas scored below neutral, indicating professional distress:
• Career Sustainability: Translators are increasingly inclined to feel that their careers are not sustainable.
• MT Utility: The perceived utility of Machine Translation (MT) scored low, suggesting professionals do not feel they are benefitting from its incorporation into their workflows.
• Fairness of Pay: Remuneration is a major concern; only just over a quarter (26%) of respondents feel they are paid fairly, while 51% feel they are not.
3. Influence of Professional and Personal Attributes
The study identified several attributes that significantly impact the quality of working life:
• Gender: Female translators tended to score higher than males in general wellbeing, work provider engagement, and professional networking.
• Direct Clients: Having a higher proportion of direct clients relates positively to a sense of control, career success, and satisfaction with pay.
• Location: Translators based outside the UK reported higher levels of satisfaction and more positive attitudes toward technology than those based in the UK.
• Age and Experience: Older and more experienced translators reported lower satisfaction with their professional networks and held more negative attitudes toward new technology.
4. The Impact of Machine Translation Post-Editing (MTPE)
The amount of MTPE work a translator undertakes creates a complex "double-edged sword" effect:
• Positive Correlations: Higher volumes of MTPE work relate to greater enjoyment of and engagement with MTPE tasks, as well as a more positive attitude toward translation technology in general.
• Negative Correlations: Conversely, high MTPE workloads relate negatively to seven key areas: job fit (feeling overqualified), work provider engagement, control at work, professional networking, general wellbeing, overall satisfaction, and perceived fairness of pay.
5. Career Longevity and the AI Threat
• 5-Year Commitment: A majority (66%) of respondents intend to stay in the profession for at least the next five years.
• The AI Exit Factor: Despite this general commitment, qualitative data revealed pessimistic sentiments. Some translators are seriously considering leaving due to insufficient workloads and falling rates attributed to the influence of Artificial Intelligence (AI).
• Demographic Vulnerability: Translators who are UK-based or those whose target language is English were identified as the groups most likely to leave the profession within the next five years.</t>
  </si>
  <si>
    <t>1. Moderately High Satisfaction with Critical Gaps
The researchers conclude that overall levels of T-WRQoL (Quality of Life) and T-SAT (Work Satisfaction) are positive. However, translators are notably dissatisfied with several specific areas:
• Control at Work: Freelancers feel they lack sufficient power to influence how their work is arranged.
• Career Success and Sustainability: There is a pervasive feeling that the career is becoming less sustainable.
• Perceived Utility of MT: Professionals do not feel they are truly benefitting from the current implementation of machine translation.
2. The Negative Influence of MTPE
A central conclusion of the study is that current Machine Translation Post-Editing (MTPE) practices are exerting a significant negative influence on the profession. The amount of MTPE work a translator undertakes is negatively linked to:
• Job Fit: Translators feel overqualified and find less stimulation in post-editing tasks.
• Provider Relationships: It strains the relationship between translators and their work providers.
• Financial Fairness: There is a strong negative link between high MTPE workloads and the perceived fairness of pay.
3. Intention to Stay vs. The AI Threat
While a majority (66%) of respondents intend to stay in the profession for the next five years, the study identifies a disconnect between current engagement and future commitment:
• Engagement ≠ Commitment: Interestingly, being willing to engage with MTPE work is not an indicator that a translator will stay in the profession long-term.
• Risk Groups: Translators based in the UK or those whose target language is English are identified as being more likely to leave the profession within five years.
• The AI "Exit" Factor: Qualitative data reveals that some translators are seriously considering an early exit due to insufficient workloads caused by the emergence of Artificial Intelligence (AI).
4. Complex Influencers on Satisfaction
The study concludes that work satisfaction is a complex construct affected by a variety of personal and professional attributes. Gender, age, and years of experience play roles, but having a higher proportion of direct clients is specifically highlighted as a way to improve the quality of working life and a sense of control.
5. Risk to the Skilled Workforce
Ultimately, the researchers warn that if current industry trends—particularly regarding MTPE pay structures and the lack of translator control—continue, the "long-term sustainability of the skilled translator workforce will be at risk". They conclude that the industry requires urgent initiatives and policy changes to ensure translators remain motivated and fairly compensated.</t>
  </si>
  <si>
    <t>• T-WRQoL and T-SAT: The two primary metrics used throughout the study to measure Translator Work-Related Quality of Life and Translator Satisfaction, both of which were found to be moderately high overall.
• Control at Work: A specific factor identified in the conclusion as an area where translators are notably dissatisfied, referring to their lack of power over how work is arranged.
• Career Success and Sustainability: A term used to describe the declining belief among professionals that translation remains a viable and secure long-term career path.
• Perceived Utility of MT: Refers to the "unfavourable" view translators hold regarding whether they actually benefit from incorporating machine translation into their workflows.
• MTPE (Machine Translation Post-Editing): The conclusion identifies the amount of this specific type of work as a critical factor that is currently exerting a "negative influence" on professional motivation.
• Job Fit: A term used to describe how high volumes of post-editing can lead to translators feeling overqualified for their tasks, resulting in less job stimulation.
• Work Provider Engagement: Describes the relationship between translators and their clients or LSPs, which the conclusion notes is negatively affected by current MTPE practices.
• Perceived fairness of pay: A key metric that the authors conclude is under threat; they recommend an urgent review of MTPE pay structures to address this dissatisfaction.
• Sustainability of the skilled translator workforce: The central concern of the study, which warns that the professional workforce is at risk if pessimistic outlooks regarding AI and low rates continue.
• Complex constructs: The term used to describe the multifaceted nature of work satisfaction and motivation, which are influenced by a wide variety of personal and professional variables.
• Long-term career commitment: Used to contrast a translator's current 5-year intention to stay in the job with the factors that actually motivate them to stay for the duration of their career.
• Pessimistic future outlooks: Describes the growing fear among practitioners that Artificial Intelligence (AI) will eventually force them to change careers.</t>
  </si>
  <si>
    <t>Technical aspects; Training needs; Working conditions; Ethical aspects</t>
  </si>
  <si>
    <t>Dorst 2023</t>
  </si>
  <si>
    <t>N4GGT7QQ</t>
  </si>
  <si>
    <t>Professional Translators’ and Project Managers’ Perceptions of Machine Translation and Post-Editing: A Survey Study</t>
  </si>
  <si>
    <t>Aletta G. Dorst
E-mail: a.g.dorst@hum.leidenuniv.nl</t>
  </si>
  <si>
    <t>Leiden University Centre for Linguistics Leiden University Centre for Linguistics</t>
  </si>
  <si>
    <t>To compare and contrast the experiences and perceptions regarding MT and PE of professional translators and project managers with experience in working with post-editing assignments and based in the Netherlands.</t>
  </si>
  <si>
    <t>2021/04</t>
  </si>
  <si>
    <t>2021/05</t>
  </si>
  <si>
    <t xml:space="preserve">Social media; Other: E-mail to the pool of professional translators and project managers that, at the time, worked for the company Translation Bureau Vertalingen.nl. </t>
  </si>
  <si>
    <t>Professional translators or project managers</t>
  </si>
  <si>
    <t>Frequency and Suitability of Post-Editing
• Workflow Integration: The study suggests that MT is not yet fully integrated into daily services for the surveyed group; most PTs and PMs reported receiving or assigning PE tasks only once a month.
• Optimal Text Types: Both groups agree on which content is best suited for PE. Technical texts, manuals, and standardised legal texts (such as articles of association) were identified as the easiest to post-edit compared to translating from scratch.
The Centrality of Trust and Transparency
• Decision-Making Drivers: Trust is the most critical factor in a translator's decision to accept a PE task. PTs are significantly more likely to accept these assignments from agencies or PMs they collaborate with regularly and whose professionalism they trust.
• Disclosure Issues: The study found a notable gap in honest communication. While most PMs claim to be transparent, some admitted to sending MT output to translators without explicit disclosure to increase the likelihood of the task being accepted. Conversely, some PTs reported having to ask whether a text was MT-generated if it was not stated beforehand.
• Ethical Concerns: This lack of transparency raises serious ethical concerns regarding the trust relationship between stakeholders and suggests that PMs may not fully appreciate that the effort required for PE is fundamentally different from revising human translations.
Factors Influencing Task Acceptance
• Translator Motivations: PTs' willingness to accept PE tasks depends primarily on text type, deadlines, and word rates.
• PM Perceptions: PMs believed the most common reason translators decline work is a general refusal to work with MT, followed by unsuitable source texts and low rates.
• Rate Fairness: Translators expressed a strong preference for hourly rates over word rates, arguing that they are much fairer given the complexity and unpredictable effort involved in post-editing.
Gaps in Machine Translation Literacy
• PM Knowledge Gaps: The results suggest a potential lack of MT literacy among project managers. When asked which MT engines they use, some PMs mistakenly named CAT tools (such as Trados or Smartling) instead of actual engines.
• Impact on the Relationship: The study concludes that PTs are more inclined to accept work from PMs who demonstrate a clear understanding of MT capabilities and limitations.
Professional Tensions
• Peer Resentment: Tensions exist not only between translators and managers but also among translators themselves. Some respondents expressed frustration with colleagues who accept "ridiculously" low rates for time-consuming PE work, feeling that such practices "ruin the industry".
• Fear of Exploitation: Ultimately, the study concludes that translators' primary concern is not being replaced by machines, but rather being exploited by "uninformed fellow human beings" (PMs and clients) who disregard the significant effort required for high-quality post-editing.</t>
  </si>
  <si>
    <t>The Centrality of Trust and Transparency
The authors conclude that trust is the most critical factor in a translator's decision to accept or decline a post-editing task. This trust is multi-faceted, encompassing the PT's belief in the quality of the MT engine and their professional relationship with the project manager or agency. The study highlights a troubling lack of transparency, concluding that some PMs intentionally withhold information about the use of MT to increase task acceptance, which significantly damages the professional relationship and creates an atmosphere of uncertainty.
The "MT Literacy" Gap Among Project Managers
A significant conclusion of the study is the pivotal but often under-prepared role of the project manager. The researchers found evidence suggesting a lack of "machine translation literacy" among PMs, noting that some could not distinguish between CAT tools and actual MT engines. They conclude that for MTPE to be effective, PMs must be better educated to "educate" both clients and translators, ensuring that assignments are only sent for suitable language pairs and text types.
Economic Inequity and the Shift to Hourly Rates
The research concludes that current payment models for MTPE are a major source of professional friction.
• Fair Compensation: PTs believe that hourly rates are much fairer than word rates because they more accurately reflect the unpredictable effort and cognitive load involved in post-editing.
• Intra-professional Tension: The study concludes that low rates are creating resentment among translators, who feel that colleagues accepting "ridiculously" low pay are "ruining the industry" and enabling poor working conditions.
Redefining Professional Resistance
Contrary to the idea that translators simply fear being replaced by robots, the study concludes that their primary fear is exploitation by "uninformed fellow human beings" (PMs and clients). Translators are not inherently resistant to the technology—as many are happy to use MT plugins in their own CAT tools—but they object to poor working conditions and the disregard for the human effort required to achieve high-quality results.
MTPE as a Multi-Variable Decision
Finally, the researchers conclude that researchers and practitioners must stop viewing MTPE as a unified or binary process. A translator's engagement with the technology is a complex calculation based on the specific rate, the deadline, the quality of the engine, the text type, and the level of trust in the specific PM.</t>
  </si>
  <si>
    <t>• Trust and honesty: Identified as the core elements at the centre of a translator's decision to accept or decline a post-editing task.
• Machine translation literacy (MT literacy): A critical skill set involving the knowledge and training required to use MT effectively; the authors conclude that project managers' MT literacy specifically needs further investigation.
• Pivotal role of project managers: Refers to the significant influence project managers (PMs) have in creating and maintaining relationships and "educating" both clients and translators.
• Transparent communication: The concluded requirement for a healthy workflow, as a lack of transparency regarding MT use is shown to put a strain on the PT-PM relationship.
• Using MT vs. doing PE: A conceptual distinction the researchers conclude is necessary; translators may welcome MT plugins in a CAT tool while resisting post-editing as a separate, poorly-compensated document fix.
• MTPE is not a unified process: A summary of the finding that the acceptance of tasks depends on a complex interplay of rates, deadlines, domains, and language combinations.
• Complexity of calculating effort: The difficulty in predicting work time beforehand, leading many translators to conclude that hourly rates are fairer than word rates for post-editing.
• Fear of being exploited: A psychological term used to describe the primary concern of translators, which the authors conclude is directed at "uninformed fellow human beings" (PMs and LSPs) rather than the machine itself.
• Working conditions: The broader professional environment which, if characterised by general disregard for effort, fair rates, and reasonable deadlines, causes more frustration for translators than the technology.
• Mutual appreciation: The idealised professional state between stakeholders that the authors conclude should be the goal of effective change management.</t>
  </si>
  <si>
    <t>Working conditions; Ethical aspects</t>
  </si>
  <si>
    <t>Nzuanke 2018</t>
  </si>
  <si>
    <t>Knowledge and Use of Computer-Assisted Translation Tools on Professional Translation in Nigeria</t>
  </si>
  <si>
    <t>2CNYZQB7</t>
  </si>
  <si>
    <t>Samson Fabian Nzuanke</t>
  </si>
  <si>
    <t>University of Calabar, Calabar-Nigeria</t>
  </si>
  <si>
    <t>Nigeria</t>
  </si>
  <si>
    <t>To analyse the awareness level of professional Nigerian translators regarding state-of-the-art translation technologies - specifically Computer-Assisted Translation (CAT) tools like translation memory (TM), voice recognition, and term-base management.</t>
  </si>
  <si>
    <t>2016/10</t>
  </si>
  <si>
    <t>2017/06</t>
  </si>
  <si>
    <t>Social media; Professional associations networks; Other: ECOWAS Commission</t>
  </si>
  <si>
    <t>Professional translators</t>
  </si>
  <si>
    <t>1. The Technology Usage Gap
The data shows a stark contrast between "traditional" digital tools and specialized translation software:
• Universal Tools: 100% of respondents use Microsoft Word and electronic dictionaries/glossaries.
• Persistent Traditionalism: 60% of translators still rely on hard-copy dictionaries and pen and paper for their professional work.
• Low CAT Adoption: Only 30% of translators use CAT tools generally. Specifically, only 20% use Translation Memory (TM) and only 10% use terminology management software.
• Complete Absence: 0% of respondents utilized voice recognition or Optical Character Recognition (OCR) tools.
2. Awareness and Misconceptions
A primary finding was that many translators do not understand the nature of the tools available to them:
• The MT vs. TM Confusion: 50% of Nigerian translators mistakenly believe that Translation Memory is the same as Machine Translation (automatic translation without human aid). The researchers note this misconception directly hinders tool acquisition because translators view the tools as "not useful" or "unreliable".
• Educational Shortfall: Although 70% of respondents indicated that CAT tools existed during their professional training, only 40% were actually taught how to use them in school. This suggests that academic curricula have not kept pace with the needs of the international market.
3. Benefits and User Experience
For the 30% of translators who do use specialized tools, the results were largely positive:
• Productivity: 25% reported that the tools helped them finish work on time.
• Quality: 20% noted an increase in the consistency of terms.
• Output Value: 60% of respondents felt their overall translation output had been "impressive" since the advent of these tools, indicating that the advantages outweigh the disadvantages for those who adopt them.
4. Barriers to Adoption
The 70% of translators who do not use CAT tools cited several overlapping reasons for their resistance:
• High Cost: 70% of non-users identified the expensive nature of the software as their primary barrier. The researchers noted that tools can cost between €60 and €695, which is often prohibitive given local income levels.
• Learning Curve: 62% of non-users (and 100% of users) agreed that the time involved in learning how to use these tools is "very long".
• Market Impact: 45% of respondents rated the overall impact of technology on the Nigerian industry as "discouraging," with many citing a lack of professionalism and the unorganized state of the local market.</t>
  </si>
  <si>
    <t>1. Technology is "Indispensable" but Under-Utilised
The researchers conclude that while state-of-the-art tools like Translation Memory (TM) and terminology management are indispensable to the profession, they have not yet made a great impact in Nigeria. The local market remains dominated by traditional methods—specifically hard-copy dictionaries and pen and paper—even among those who use basic word processors like Microsoft Word.
2. The Triad of Barriers: Cost, Time, and Misconception
The study identifies three primary reasons why Nigerian translators are discouraged from adopting new technologies:
• Economic Barriers: The expensive nature of the software is the most significant hurdle; 70% of non-users cited high costs (ranging from €60 to €695) as their reason for avoidance.
• The Learning Curve: There is a consensus that the time involved in learning how to use these tools is "very long," which deters busy professionals from upgrading.
• Conceptual Confusion: A major conclusion is that misconceptions about the technology itself hinder its acquisition. Since 50% of translators mistakenly believe TM is the same as fully automatic machine translation, they view the tools as unreliable or not useful for high-quality work.
3. Market Alienation and Professional Risks
The researchers conclude that failing to adopt these tools has direct economic consequences for Nigerian translators:
• Exclusion from International Jobs: International clients and organisations increasingly demand the use of TM and terminology management tools. Translators who do not use them face a lack of jobs from the global market.
• Remuneration Issues: The study suggests that if translators cannot use tools to improve their speed and satisfy international standards, they will struggle to increase their income.
4. Failure of the Educational Pipeline
The study concludes that academic institutions are failing to prepare the next generation of translators for the digital age. Although most translators were trained in environments where CAT tools existed, only 10% were actually taught how to use them in school. The authors warn that if this trend continues, Nigerian translators will remain unable to compete in an "ever-changing world of technology".
5. Proven Benefits for Early Adopters
Despite the general resistance, the study concludes that for the small percentage of translators who do use the tools, the results are overwhelmingly positive:
• Enhanced Quality: Users reported greater consistency of terms.
• Increased Productivity: Users were more likely to finish work on time.
• Job Satisfaction: 60% of respondents indicated their professional output had been "impressive" since adopting the tools, proving that the advantages far outweigh the disadvantages.</t>
  </si>
  <si>
    <t>• State-of-the-art translation tools: A collective term for the modern software suite, including translation memory, voice recognition, and terminology management.
• Sensitising: The core action recommended by the authors to awaken Nigerian translators to the need to embrace new technologies.
• Under-utilised: The primary conclusion regarding the status of specialized translation software in Nigeria.
• Expensive nature: Identified as a significant discouraging factor and the main reason why 70% of non-users avoid purchasing CAT tools.
• Misconception: Specifically used to describe the confusion between Translation Memory (TM) and automatic Machine Translation (MT), which leads many to believe the tools are unreliable.
• Consistency of terms: A primary benefit cited by those who successfully use the tools.
• Impressive: The specific term used by 60% of respondents to evaluate their professional output since the advent of these tools.
• Indispensable: The researchers' final assessment of the role of technology in the profession, regardless of its current low usage in the country.
• Widely demanded: Refers to the technological requirements set by international organisations and global clients, which Nigerian translators are currently struggling to meet.</t>
  </si>
  <si>
    <t>Linguistic challenges; Technical aspects; Ethical aspects</t>
  </si>
  <si>
    <t>Killman 2022</t>
  </si>
  <si>
    <t>POST-EDITING VS. TRANSLATING IN THE LEGAL CONTEXT: QUALITY AND TIME EFFECTS FROM ENGLISH TO SPANISH</t>
  </si>
  <si>
    <t>JH2PTISE</t>
  </si>
  <si>
    <t>Jeffrey Killman
E-mail: jkillman@uncc.edu
ORCID: 0000-0002-5517-4118</t>
  </si>
  <si>
    <t>University of North Carolina at Charlotte</t>
  </si>
  <si>
    <t>United States</t>
  </si>
  <si>
    <t>To investigate the impact of using machine translation (MT) on the translation of legal texts from English into Spanish. Specifically, the research seeks to compare the effects of post-editing (PE) against traditional translating from scratch.</t>
  </si>
  <si>
    <t>Offline</t>
  </si>
  <si>
    <t>Funds provided by the University of North Carolina at Charlotte</t>
  </si>
  <si>
    <t>Translators who worked on a full- or part-time basis</t>
  </si>
  <si>
    <t>26</t>
  </si>
  <si>
    <t>• Substantial quality and speed gains: The primary outcome of the study, noting that general-purpose MT leads to measurable improvements in both the calibre of the final text and the time taken to produce it.
• Statistical Machine Translation (SMT): The specific MT architecture used in the experiment, which the authors conclude remains a powerful and relevant tool for the legal domain despite the industry shift toward neural models.
• Neural Machine Translation (NMT): Referred to as the current "state-of-the-art" architecture; the conclusion compares its performance to SMT, particularly regarding the trade-off between fluency and accuracy.
• Sentence fluency vs Accuracy: A critical conceptual distinction in the conclusion; the authors note that while newer systems (NMT) often improve the natural flow (fluency) of a sentence, they may do so to the detriment of lexical precision (accuracy), especially with rare words or terminology.
• Specialised terminology and phraseology: The specific levels of text where MT was found to provide the most usable translation suggestions, even when facing lexical ambiguity.
• Pretest majority/minority beliefs: Terms used to describe the participants' initial expectations—where most believed MT would only improve speed (majority belief) while very few expected it to improve quality (minority belief).
• In-domain trained systems: Refers to MT engines trained specifically on legal corpora (such as EU or UN data), which the authors conclude are highly useful when similar legal material is translated.
• Morphology and syntax: Identified alongside terminology as the principal areas of difficulty in legal translation that future research should target to measure productivity gains.
• Voluntary basis: A term describing how most participants currently engage with MT; the authors conclude that as translators leverage technology more regularly and voluntarily, speed and quality gains will likely become even more substantial.
• Automatic metrics: Mathematical tools (such as BLEU or NIST) mentioned in the conclusion to contrast the performance of different MT architectures in legal contexts.</t>
  </si>
  <si>
    <t>Girletti 2022</t>
  </si>
  <si>
    <t>Working with Pre-translated Texts: Preliminary Findings from a Survey on Post-editing and Revision Practices in Swiss Corporate In-house Language Services</t>
  </si>
  <si>
    <t>U35QLNB5</t>
  </si>
  <si>
    <t>Sabrina Girletti
E-mail: sabrina.girletti@unige.ch</t>
  </si>
  <si>
    <t>FTI/TIM, University of Geneva, Switzerland</t>
  </si>
  <si>
    <t>To investigate how corporate in-house linguists carry out revision
and PE in terms of (i) reading strategies and (ii) overall strategies, e.g. whether they follow specific parameters or guidelines. Additionally, we
also investigated whether linguists apply the same strategies when revising texts that have been translated or post-edited by another person.</t>
  </si>
  <si>
    <t>2021/11/15</t>
  </si>
  <si>
    <t>2022/02/16</t>
  </si>
  <si>
    <t>Social media; Other: Swiss-based companies with internal translation departments</t>
  </si>
  <si>
    <t>Professional linguists working at CILS who use MT in their professional workflows.</t>
  </si>
  <si>
    <t>Reading Strategies
• Segment-by-Segment Dominance: The most common reading strategy for both activities is to proceed segment by segment, starting with the source text. This approach is slightly more prevalent in PE (55%) than in revision (42%).
• Target-First Approach: The second most popular strategy involves reading the target segment first (approx. 34% in PE and 40% in revision).
• Consistency in Practice: Despite claiming to view the tasks differently, 65% of linguists reported using the same reading strategy for both revision and PE. Furthermore, linguists tend to apply the same reading strategy more consistently in PE than in revision, where strategies vary more frequently based on factors like text type or the specific translator.
Overall Strategies and Professional Attitudes
• Perceived Differences vs. Actual Behaviour: A majority of respondents (64%) claim to apply different overall strategies when working with human-translated versus machine-translated texts, primarily because they trust machine translation (MT) less and feel they must be more careful.
• Terminology Verification: There is a significant difference in how terminology is handled; 90% of post-editors systematically check terminology in the target text. In contrast, only 62% of revisers do so systematically, often basing their decision to check terms on their level of trust in the human translator.
• Use of Guidelines: Revision is shown to be a more established practice, with 72% of respondents following specific revision parameters, compared to only 51% who follow formal PE guidelines.
• Treating PE as Human Work: For those who revise texts previously handled by colleagues, 78% use the same strategies regardless of whether the text was originally translated by a human or post-edited from an MT draft.
Impact of MT Integration
• Limited Influence on Revision: The majority of respondents (72%) feel that the introduction of MT into their workflow has not changed the way they revise human-translated texts.
• Cognitive Bias: The researcher observed a potential "cognitive bias" where some linguists view PE merely as a "revision of MT" rather than a distinct task, which may lead them to perceive MT as an increase in revision workload rather than a supportive tool.
Professional Profile
• Experience and Training: Participants had an average of 15.8 years of translation experience. While 80% began post-editing at their current company, 53% had received formal PE training, which is notably higher than the 41% of revisers who had received formal training for revision tasks.</t>
  </si>
  <si>
    <t>Blurring Boundaries and Strategic Inconsistency
The researcher concludes that while the theoretical boundaries between revision and post-editing are starting to blur due to the high quality of neural machine translation (NMT), professional linguists still perceive them as distinct activities. However, there is a clear contradiction between perception and practice: while 64% of linguists claim to apply different overall strategies for human versus machine-translated texts, approximately 65% actually use the same reading strategy for both tasks.
The "Cognitive Bias" of Post-Editing
The study identifies a significant cognitive bias among professional linguists who view post-editing merely as "the revision of MT output". The sources conclude that this bias has negative implications for the profession:
• It may cause linguists to perceive MT as a mere increase in revision workload rather than a supportive tool.
• It reflects a lack of awareness of the unique challenges of MT, such as misleading fluency or omissions, which require different evaluative approaches than human errors.
Impact of Tool Interface and Workflow
The author concludes that the way technology is integrated into the workflow affects its reception. Pre-translating the entire text might reinforce the view of MT as a "translation dispenser" that needs correcting. To mitigate this, the study suggests that displaying MT in a separate window (similar to translation memory matches) could help linguists view it more positively as a support tool for their own translation process.
Gaps in Training and Pedagogy
The sources highlight a critical deficiency in current professional and academic training:
• Lack of Practical Advice: PE training rarely includes useful guidance on reading strategies (e.g., whether to read the source or target segment first).
• Curriculum Needs: The study concludes that because NMT has changed how translators interact with pre-translated texts, academic curricula must be adjusted. Translation schools should help students develop revision and PE strategies in parallel rather than teaching them as entirely separate, late-stage additions.
Preliminary Nature and Future Research
Finally, the researcher notes that these are preliminary findings from a specific cohort (Swiss corporate linguists) that has been historically underrepresented. The conclusion suggests that further analysis of satisfaction data is required to identify sources of professional grievance and to draw a more complete picture of how the NMT era is reshaping the "human work" of translation.</t>
  </si>
  <si>
    <t>• Salaried translators / In-house linguists: The specific professional demographic working within corporate in-house language services (CILS) in Switzerland that the study investigated.
• Common grounds: Used to describe the significant procedural and conceptual similarities identified between the tasks of revision and post-editing (PE).
• Reading strategies: A core focus of the study, referring to the sequence in which a linguist reads the source and target segments; the conclusion notes a lack of consensus on these strategies in revision compared to PE.
• Cognitive bias: A central term used to describe the mindset where linguists view PE merely as "the revision of MT", which can prevent them from seeing technology as a means to vary their daily tasks.
• Translation dispenser: A metaphorical term for MT output when it is automatically pre-populated into a text, which the author concludes can lead linguists to view the tool as something to be "corrected" rather than as a support.
• Separate window display: A recommended technical implementation for MT (similar to translation memory fuzzy matches) intended to help linguists view the technology as a supportive workflow tool.
• In parallel: The recommended pedagogical approach for modern translation curricula, where students are taught to construct revision and PE strategies simultaneously rather than as separate activities.
• NMT era: The current technological context of Neural Machine Translation, which the author concludes is fundamentally changing how professionals interact with pre-translated texts.
• Sources of grievance: The term used to describe the professional dissatisfactions that the author aims to identify and address in future research through the analysis of satisfaction data.</t>
  </si>
  <si>
    <t>Linguistic challenges; Working conditions</t>
  </si>
  <si>
    <t>Mahadin 2022</t>
  </si>
  <si>
    <t>JI5NFVIF</t>
  </si>
  <si>
    <t>Jordanian Translators’ Use of Machine Translation and Glossary of 
COVID-19 Terminology with Reference to Arabic</t>
  </si>
  <si>
    <t>Dana Khalid Mahadin 
E-mail: d.mahadin@bau.edu.jo</t>
  </si>
  <si>
    <t xml:space="preserve">English Language Department, Salt Faculty of Human Sciences, Al-Balqa Applied University, Al- Salt, JORDAN </t>
  </si>
  <si>
    <t>To investigate the views and perceptions of professional Jordanian translators regarding the use of translation technology - specifically Machine Translation (MT) and glossaries - during the COVID-19 pandemic.</t>
  </si>
  <si>
    <t>18</t>
  </si>
  <si>
    <t>2020/07/20</t>
  </si>
  <si>
    <t>2020/08/10</t>
  </si>
  <si>
    <t>Jordanian professional translators</t>
  </si>
  <si>
    <t>1. Perspectives on Machine Translation (MT)
The findings show a general lack of trust in MT as a primary translation tool, with translators viewing it more as a supplementary resource:
• Resistance to Automation: Approximately 60% of respondents disagreed with using MT as a "quick, cheap, and accessible" option. A similar majority (60.4%) disagreed with frequently using MT for directional translation in either language pair.
• The "Research Tool" Paradox: While they avoid MT for drafting, 46.2% of translators admitted they resort to it when they do not know a specific term. This suggests they use MT as a "research tool" or a repository, much like a translation memory, rather than a productivity aid.
• Awareness of Limitations: There was an overwhelming consensus regarding the technical shortcomings of Arabic MT: 90.6% agreed on its semantic limitations and 87.7% agreed on its syntactic limitations.
2. Role and Usefulness of Glossaries
In contrast to the negative views of MT, specialized glossaries were viewed as essential for maintaining quality and accuracy:
• Source Credibility: Nearly 70% of participants ensured their COVID-19 glossaries were based on official sources like the WHO or CDC.
• Cognitive Benefits: 74.5% of translators reported that using specialized glossaries significantly increased their extralinguistic knowledge and awareness of the pandemic.
• Demand for Open Access: There was strong support (76.4%) for a unified, open-source COVID-19 glossary, with participants noting it would ensure more "efficient, reliable, and up-to-date" translations.
3. Challenges of Translating into Arabic
The survey highlighted specific linguistic and cultural hurdles unique to the English–Arabic language pair:
• Lack of Consistency: 50% of respondents agreed that there is a lack of consistency in COVID-19 terminology across various Arabic-speaking media outlets and platforms.
• Urgent Need for Unification: The most significant result in this section was the 85.8% of participants who agreed on the "urgent need" to develop a unified Arabic COVID-19 terminological glossary.
• Difficulty Factors: 60% of translators identified the introduction of new technical terms as a primary source of difficulty. Opinion was more divided on the impact of text formality (38.7% agreed it was a difficulty) and culture-bound variations (42.5% agreement).
4. Cultural and Thematic Insights (Qualitative Results)
Thematic analysis of the open-ended comments provided further depth to the quantitative data:
• Cultural Sensitivity: Translators highlighted "problematic" literal translations. For example, they noted that the literal Arabic translation of "herd immunity" is undesirable because animal references used for humans are considered insults in Arab culture; they preferred using "community immunity" instead.
• Institutional Gaps: Respondents underscored a lack of cooperation among Arab language academies, which they felt slowed the pace of coining new, acceptable Arabic terms for global crises.</t>
  </si>
  <si>
    <t>1. Deep-Seated Resistance to MT Adoption
The researchers conclude that Jordanian translators are largely unwilling to adopt MT as a primary tool for crisis translation.
• Quality vs. Speed: Despite the time-saving potential of MT, translators reject it as a "quick and cheap" option because they believe the extensive post-editing required negates the efficiency gains.
• Technological Distrust: Resistance is driven by a high level of awareness of the semantic and syntactic limitations of Arabic Machine Translation (AMT), which struggles with the language's complex system of diacritics and flexible word order.
2. MT as a "Research Tool" Rather than a "Draft Tool"
A key conclusion is that Jordanian translators have repurposed MT into a research instrument.
• Term Discovery: Instead of using MT to generate full-text drafts, professionals use it primarily to identify unknown terms or find definitions, effectively treating it as a translation memory repository rather than an automated translator.
• Preserving Agency: This practice allows translators to maintain cognitive control and avoid being influenced by the potentially creative-killing suggestions of the machine.
3. Glossaries as the Preferred Quality Mechanism
The study concludes that specialized glossaries are viewed as far more useful and reliable than MT in a crisis context.
• Knowledge Building: Beyond providing terms, glossaries serve a cognitive function by increasing the translator’s extralinguistic knowledge and awareness of the pandemic, which improves overall translation quality.
• Credibility: Professionals conclude that for high-stakes health information, resources must be tied to official global organizations (like the WHO or CDC) to be trustworthy.
4. Institutional and Terminological Crisis
The researchers identify a significant failure in the institutional standardization of Arabic terminology.
• Lack of Cooperation: The study concludes that the "consistency crisis" in Arabic COVID-19 terms is caused by a lack of coordination between the 13 Arab language academies, often due to geographic and political upheavals.
• The Unified Glossary Solution: There is an overwhelming professional consensus on the urgent need for a unified, open-source Arabic glossary to replace the current fragmented landscape.
5. The Primacy of Cultural Nuance
Finally, the study concludes that human translators remain indispensable for crisis communication because they possess the cultural agency that machines lack.
• Avoiding Offense: Translators actively intervene to prevent offensive literalisms (e.g., rejecting the literal Arabic for "herd immunity" in favour of "community immunity") because animal references are culturally sensitive in Arab societies.</t>
  </si>
  <si>
    <t>• Crisis translation: The central field of study, referring to the role of translation in making timely information accessible during global emergencies.
• Time constraints / High volumes / Financial costs: These three factors are identified as the primary challenges that make traditional human translation difficult during a pandemic.
• Arabic Machine Translation (AMT): The specific technological focus, noted for being a "difficult task" due to the linguistic properties of the target language.
• Complexity of the Arabic language system: Used to explain the technical failure of MT and the resulting negative attitudes of local professionals.
• Unified glossary: The study’s primary recommendation; an urgent and dynamic linguistic resource needed to ensure consistency across the Arab world.
• Free-access, researchable, and plain-language: The specific qualities the researchers argue a crisis glossary must possess to be effective for both professionals and the public.
• Consistency and accuracy: The two main quality benchmarks that the researchers conclude are currently at risk in the Jordanian market.
• Awareness and knowledge: Refers to the "extralinguistic" benefit provided by glossaries, helping the public and health workers understand prevention, treatment, and care.</t>
  </si>
  <si>
    <t>Linguistic challenges; Technical aspects; Working conditions; Ethical aspects</t>
  </si>
  <si>
    <t>Briva–Iglesias 2024</t>
  </si>
  <si>
    <t>TDFKB8RT</t>
  </si>
  <si>
    <t>Pre-task perceptions of MT influence quality and productivity: the
importance of better translator-computer interactions and implications
for training</t>
  </si>
  <si>
    <t>Vicent Briva-Iglesias
E-mail: vicent.brivaiglesias2@mail.dcu.ie</t>
  </si>
  <si>
    <t>SALIS, D-REAL, Dublin City University</t>
  </si>
  <si>
    <t>2024</t>
  </si>
  <si>
    <t>Ireland</t>
  </si>
  <si>
    <t>To analyse whether negative or positive translators’ pre-task perceptions of machine translation (MT) being an aid or a threat had any relationship with final translation quality and productivity in a post-editing workflow</t>
  </si>
  <si>
    <t>5</t>
  </si>
  <si>
    <t>0</t>
  </si>
  <si>
    <t>Other: Job advert on ProZ and X</t>
  </si>
  <si>
    <t>Science Foundation Ireland Centre for Research Training in Digitally-Enhanced Reality (d real) under Grant No. 18/CRT/6224</t>
  </si>
  <si>
    <t>Native Spanish translators with professional experience in legal translation, and less than 5 years of professional experience.</t>
  </si>
  <si>
    <t xml:space="preserve">As a conclusion, the results suggest that translators with negative pre-task perceptions of MT tend to deliver poorer quality translations, as well as to translate slower, than their peers with positive pre-task perceptions of MT. Specially, in our study, we observed that translators who thought that MT was a threat to their profession or distrusted MT as an aid in their work obtained lower quality and productivity scores. These were the two variables with the highest correlation coefficients. By contrast, translators with positive pre-task perceptions obtained better translation quality and productivity scores. This may have happened because translators with negative pre-task perceptions of MT may have not interacted with MT adequately or with an open-minded point of view, impacting their final translation quality and productivity.
The level of trust in MT and the conception of MT as a threat to the translation profession have a strong correlation with final quality results, especially Adequacy, and a moderate correlation with productivity. These correlations have important implications. Translators fearing MT, or those who are more reluctant to trust their interactions with MT, may not be leveraging the advantages and benefits MT offers them. </t>
  </si>
  <si>
    <t>• Pre-task perceptions: The core focus of the study, referring to a translator's positive or negative feelings and beliefs about machine translation (MT) before they begin a task.
• Direct relationship: The conclusion that a translator’s mindset has a measurable impact on final translation quality and productivity.
• MT as a threat: One of the two variables with the highest correlation coefficients; viewing MT as harmful to the profession is concluded to lead to slower speeds and poorer quality.
• Level of trust: A critical factor that the authors conclude correlates strongly with Adequacy and moderately with productivity.
• Human-centered, augmented machine translation: The proposed future model where technology serves to augment translators and reduce their cognitive limitations rather than replacing them.
• MT literacy: A holistic skill set that includes understanding MT's limitations and ethical issues, enabling a critical view of when its use is appropriate.
• Translator control: The principle that the human must remain the one controlling the interaction with the technology.
• Open-minded point of view: A characteristic attributed to those with positive perceptions, which is concluded to help them interact more effectively with automated aids.
• Language engineers: An emerging, transversal professional role that reflects the evolving nature of the industry in the automation age.
• Confidence: A psychological state that the authors conclude must be increased through training to help translators leverage the benefits of MT.</t>
  </si>
  <si>
    <t>Linguistic challenges; Training needs; Ethical aspects; Other: Productivity</t>
  </si>
  <si>
    <t>Saduov 2025</t>
  </si>
  <si>
    <t>Technological impact on the translation industry and beyond: perspectives of Russian translation professionals</t>
  </si>
  <si>
    <t>7FNMFG3N</t>
  </si>
  <si>
    <t>Ruslan T. Saduov
E-mail: Ru.Saduov@innopolis.ru
ORCID: 0000-0003-1395-3858</t>
  </si>
  <si>
    <t>Innopolis Univesity, Innopolis, Russia</t>
  </si>
  <si>
    <t>To identify the translation community's attitudes towards the changes associated with digitalization as well as the possible risks ensuing the technological developments.</t>
  </si>
  <si>
    <t>2024/05</t>
  </si>
  <si>
    <t>Personal contacts</t>
  </si>
  <si>
    <t>Professional translators of various ages, backgrounds, and experience</t>
  </si>
  <si>
    <t>31</t>
  </si>
  <si>
    <t>1. Technology Adoption: Widespread but Selective
• High Usage Rates: 81% of respondents use translation technology professionally. The most common tools are Machine Translation (MT) (81%) and CAT tools with Translation Memory (74%).
• The Creative Divide: Usage is heavily dependent on the nature of the text; translators of creative or literary texts are significantly more reluctant to use these tools, viewing them as a "hindrance" to imagery and supersyntactic meaning.
• The LLM Gap: Despite the global rise of AI, Large Language Models (LLMs) like ChatGPT are rarely used for professional translation in this sample. Translators find them "inconvenient" because they are not yet integrated into standard CAT tool segment-parsing workflows.
2. Market Impact: Economic and Professional Pressure
• Employment Shifts: 87% of translators reported changes in employment due to technology.
• Negative Economic Trends: 32% of respondents noted that technology has stalled or decreased pay rates, while 23% lamented the shorter deadlines imposed by clients and agencies who assume the machine does most of the work.
• Reputational Risks: 48% of respondents believe technology poses a risk to the profession's reputation. Translators reported that the general public and corporate superiors often view their role as "minor editing" or "glorified data entry," leading to a lack of professional value within companies.
3. The Transformation of the Role
• "Augmented Translation": The study concludes that the industry is moving toward "augmented translation," where the human remains the centerpiece but acts primarily as an operator or editor.
• Fear of Replacement: 77% of respondents believe the profession will shrink or transform. While 45% predict they will be partially replaced by machines, 13% fear full replacement.
• Remedies: To maintain a competitive edge, translators are diversifying into rare languages (19%), interpreting (19%), or new specializations (61%).
4. Quality and Security Concerns
• Declining Standards: 29% of translators report a decline in quality standards, noting that clients are becoming increasingly tolerant of unnatural, machine-generated syntax.
• Confidentiality Risks: While 48% of translators handle sensitive data responsibly, nearly a quarter (24%) have either never thought about security or do not handle it effectively, posing a major risk for unintentional data leaks via cloud-based free MT engines.
5. The "Russian Context" vs. International Trends
A significant result of the study is the discrepancy between Russian and international perspectives:
• Skepticism: Unlike international studies that show high productivity gains and acceptance of Machine Translation Post-Editing (MTPE), Russian translators remain highly skeptical.
• Freelance Resistance: This skepticism is attributed to the high number of experienced freelancers in the sample who view MT output as "substandard" and MTPE as requiring more effort for lower pay.</t>
  </si>
  <si>
    <t>1. The Era of "Augmented Translation"
The study’s central conclusion is that the industry has moved beyond a "human vs. machine" binary into a state of augmented translation. This means that while the human remains the "centrepiece," they now act primarily as an operator or editor who must manage terminology, translation memories, and automated project management.
2. Resilience vs. Negative Market Realities
The researchers conclude that while practicing translators demonstrate "outstanding resilience" and flexibility in adapting to these changes, the overall impact on their daily lives is predominantly negative. Specifically:
• The study concludes that the negative implications (lower pay, shorter deadlines, and a deteriorating professional image) currently outweigh the positive benefits of increased speed.
• There is a prevailing belief (77% of respondents) that the profession will continue to shrink or transform, with a significant portion of translators fearing partial or full replacement.
3. The "Russian Context" as a Skeptical Outlier
A major conclusion is the significant discrepancy between the Russian market and international trends.
• Unlike European and corporate studies that view Machine Translation Post-Editing (MTPE) as an industry standard, Russian translators (largely freelancers) remain deeply skeptical, viewing it as more work for less pay.
• The study also concludes that Large Language Models (LLMs) like ChatGPT are currently failing to gain professional traction in Russia because they are not yet integrated into the segment-parsing workflows of standard CAT tools.
4. Systemic Hazards and the Need for Balance
The authors conclude that the rapid, often unmanaged introduction of technology has created several socially significant hazards that require an "immediate response":
• Security Risks: There is a conclusion that the widespread use of free, cloud-based MT engines by both professionals and office workers poses a major risk of confidential data leaks.
• De-skilling of the Youth: The researchers conclude that a gap is forming between university training and industry needs; because machines handle simple texts well, younger translators may lose the "routine" entry-level work needed to build their professional expertise.
• Societal Tolerance for Substandard Quality: In the long run, the study concludes that society may become tolerant of unnatural machine syntax, leading to a "simplification of texts" and a degradation of human communication.
5. A Call for "Balanced" Implementation
Ultimately, the study concludes that decisions to implement technology must be more balanced to protect stakeholders. The researchers warn that a "disrupted translated market" unprepared for innovation could lead to adverse economic effects across critical sectors like medicine, where human lives are at stake.</t>
  </si>
  <si>
    <t>• Augmented translation: The central concept of the conclusion, describing a state where the human translator is the "centrepiece" but operates primarily through integrated technological aids.
• Digitalization: The overarching process of technological change that the authors conclude requires an "immediate response" from various sectors.
• Disrupted translated market: A term used to warn of the potential state of the industry if innovation is implemented without proper preparation.
• Adverse economic effects: The predicted consequence of a poorly managed transition to new technologies, particularly in critical sectors like medicine.
• Balanced (decisions/implementation): The authors’ primary recommendation for stakeholders to avoid the "negative consequences" of rapid automation.
• Stakeholders: A broad term identifying the groups that must respond to these changes, specifically university training, translation agencies, businesses, and society at large.
• Immediate response: Used to emphasize that the transition is not a future threat but a current reality requiring active management.
• Outstanding resilience: A term used to characterize the ability of practicing translators to adapt despite the significant "pressures" of the market.</t>
  </si>
  <si>
    <t>Prieto-Ramos 2025</t>
  </si>
  <si>
    <t>STGFRSEC</t>
  </si>
  <si>
    <t>Embracing New TranslationTechnologies at InternationalOrganizations:
Translators’ Perceptions of Machine Translation and its Impact on Institutional Translation</t>
  </si>
  <si>
    <t>Fernando Prieto Ramos
E-mail: Fernando.Prieto@unige.ch</t>
  </si>
  <si>
    <t>Centre for Legal and Institutional Translation Studies (Transius), Faculty of Translation and Interpreting, University of Geneva</t>
  </si>
  <si>
    <t>To examine the perceptions of institutional translation professionals regarding Neural Machine Translation (NMT) and its specific impact on institutional translation at a global scale.</t>
  </si>
  <si>
    <t>2023</t>
  </si>
  <si>
    <t>Professional associations networks; Other: International organisations</t>
  </si>
  <si>
    <t xml:space="preserve">Institutional translation professionals </t>
  </si>
  <si>
    <t>1. Post-Editing (PE) as a Core Translational Action
The study found that the vast majority of institutional translators do not see post-editing as a separate, lower-level task, but as a process sharing a common translational competence core with revision.
• Similarity to Revision: 71.21% of respondents viewed PE and revision as "partially similar," while 22.29% considered them "very similar".
• Methodological Shift: Participants noted that while the competence required remains the same, the methodology and type of attention change because MT errors are different in nature from human errors.
• Respect for Sources: Translators reported being generally more respectful of Translation Memory (TM) matches (viewed as human-validated) than of MT proposals.
2. Most Frequent NMT Output Issues
Using a taxonomy of seven error categories, the study identified the primary weaknesses of current NMT systems in institutional settings.
• The Problem of Inconsistency: Inconsistencies were flagged as the most frequent issue across all institutions (average rating of 2.27), with nearly half of respondents encountering them "very often".
• High-Frequency Errors: Other significant issues included idiomaticity or style (2.13), inappropriate terminology (2.06), and non-conformity to institutional conventions (2.01).
• The "Curse" of Sentence Length: Qualitative data confirmed that NMT quality drops significantly in long or complex sentences, where the system often fails to understand logical relationships or omits parts of the text.
3. Impact on Productivity vs. Quality Risks
The study highlights a tension between the efficiency gains of NMT and the cognitive risks it introduces.
• Productivity Gains: There was strong agreement that MT has improved productivity (average 2.10) and provides overall advantages (2.02).
• The "Hidden in Plain Sight" Risk: A major result was the high agreement (2.36) that MT carries a significant risk of overlooking inaccuracies. Because NMT output often "sounds fluent" and is grammatically correct, errors in meaning can be harder to spot than in human translations.
• Impoverishment of Language: Many translators expressed concern that the pressure to accept MT suggestions leads to an impoverishment of the target language and more literal, less natural sentence structures.
4. Reinforced Importance of Human Competence
Contrary to fears of devaluation, the study concludes that NMT has reinforced the need for solid human translation competence.
• Top Result: The statement that MT has "reinforced the need for solid translation competence and subject matter knowledge" received the highest level of agreement (2.40) in the entire survey.
• Shift in Importance: While instrumental competence (tool use) saw the most marked increase in importance (1.51), it is still considered secondary to language, thematic, and strategic competences for ensuring final quality.
5. The "Experience Factor" and Institutional Variations
• Junior vs. Senior Perceptions: Less experienced translators (0–5 years) hold more positive views of MT's advantages but show a lower awareness of quality risks and a tendency to underestimate the importance of subject-matter knowledge compared to senior staff.
• Institutional Nuances: Translators at the European Commission (EC) and Court of Justice (CJEU) reported higher error frequencies than other large institutions, likely due to the high-stakes legal and legislative nature of their texts.</t>
  </si>
  <si>
    <t>1. Post-Editing as a Core Translational Action
The study concludes that post-editing (PE) is not a separate, lower-level task but shares a common translational competence core with revision and translation. The core decision-making process remains focused on ensuring communicative adequacy, regardless of whether the initial draft was produced by a human or a machine.
2. The Emergence of "Augmented Translation"
The researcher argues for a revised concept of translation that acknowledges a "hybrid and dynamic mix" of translational actions. In this paradigm:
• Translators are not merely "post-editors" but are "augmented" by a variety of inputs (TMs, NMT, and personal research) while remaining "in the loop" to exercise expert judgment.
• The paradigm of recycling and validating segments (similar to the long-standing use of Translation Memories) still prevails in institutional settings over building translations from scratch.
3. Reinforced Relevance of Human Expertise
Contrary to fears that technology might devalue the profession, the study concludes that NMT has reinforced the need for solid translation competence and subject matter knowledge. Human expertise is specifically required to:
• Identify "unpredictable" NMT errors that are often "hidden in plain sight" because the output sounds fluent even when it is inaccurate.
• Manage the increased cognitive load and "extreme vigilance" required when interacting with machine suggestions.
4. The Productivity vs. Quality Paradox
While professionals acknowledge that MT has improved productivity (the "boon"), the study identifies a significant trade-off:
• The time saved on routine tasks is often reinvested into detecting and fixing errors rather than purely on "improving quality".
• There is a persistent risk of an "impoverishment of language" and a shift toward more literal or unnatural syntax if translators become over-reliant on machine proposals.
5. The "Experience Factor" and Training Needs
The study concludes that there is a perceptual gap based on experience levels:
• Junior translators (0–5 years) tend to have a more positive view of MT and may underestimate the risks or the importance of subject-matter knowledge compared to senior staff.
• Future Training: Professional development should focus on domain specialization and "critical assessment" of tools, ensuring that the development of core language and strategic competences is not sidelined by a focus on automation.</t>
  </si>
  <si>
    <t>Conceptual and Process-Related Terms
• Translational competence core: Describes the essential decision-making process shared by building translations from scratch, revising peers, or post-editing machine output.
• Augmented translation: A term used to describe the current environment where human professionals are "augmented" by diverse inputs such as TMs, NMT, and personal research.
• Hybrid and dynamic mix of “translational actions”: Refers to the new concept of translation that encompasses a wide range of inputs and varying types of human attention.
• Recycling translation segments: Notes that the traditional paradigm of reusing segments (from TMs or NMT) still prevails over translating from scratch.
• Inter- and intratextual consistency: Identified as a primary concern for institutional translation that NMT systems often struggle to maintain.
• Process efficiency and product adequacy: Terms used to describe the dual goals of modern translation workflows—achieving both speed and final quality.
NMT Performance and Risk Terms
• Unpredictability of NMT errors: Highlights the unique challenge of working with machine output, where errors are not as logical or predictable as human ones.
• Inconsistencies: The most prevalent error type identified, encompassing both terminological and stylistic conflicts within a text.
• Idiomaticity or style issues: Describes the risk of NMT producing output that is grammatically correct but sounds unnatural or "impoverished".
• Non-conformity to genre or institutional conventions: Refers to the machine's failure to adhere to specific, high-level house styles or legal norms.
• Content inaccuracies: Critical errors in meaning that often remain "hidden in plain sight" because the machine output sounds fluent.
Competence and Professional Terms
• Experience factor: Refers to the significant differences in how junior versus senior translators perceive NMT risks and benefits.
• Adaptive human translators: Describes the need for professionals who can flexibly engage with and critically assess new technologies.
• Domain specialization: Identified as a critical human skill that differentiates high-quality professional work from basic machine output.
• Instrumental, language, and thematic competences: The three core pillars of expertise that must be balanced in the digital era.
• Quality assurance practices: Refers to the institutional and individual strategies needed to mitigate the new risks introduced by NMT.</t>
  </si>
  <si>
    <t>AlMudarra 2025</t>
  </si>
  <si>
    <t>The Future of Human Translators in the Era of Artificial Intelligence Translation Technologies</t>
  </si>
  <si>
    <t>26H6RAAE</t>
  </si>
  <si>
    <t>Arwaa Al Mudarra</t>
  </si>
  <si>
    <t>Department of English Language, Faculty of Science and Humanities, Dhurma, Shaqra University, Saudi Arabia</t>
  </si>
  <si>
    <t>Saudi Arabia</t>
  </si>
  <si>
    <t>Universities</t>
  </si>
  <si>
    <t>30</t>
  </si>
  <si>
    <t>2016</t>
  </si>
  <si>
    <t>Translators</t>
  </si>
  <si>
    <t>Technical aspects; Ethical aspects</t>
  </si>
  <si>
    <t>Koka 2024</t>
  </si>
  <si>
    <t>DJCYQYXA</t>
  </si>
  <si>
    <t>Adaptation and Attitudes Towards Technological Innovations: Assessing the Perceptions of Senior Lecturers on Artificial Intelligence (AI) in Translation Post-Editing</t>
  </si>
  <si>
    <t>Nisar Ahmad Koka</t>
  </si>
  <si>
    <t xml:space="preserve">Department of English, College of Languages and Translation, King Khalid University, Abha, Kingdom of Saudi Arabia </t>
  </si>
  <si>
    <t>To investigate the adaptation processes and attitudes of senior lecturers regarding the integration of Artificial Intelligence (AI) in translation post-editing (TPE).</t>
  </si>
  <si>
    <t>Social media; Other: Online forums</t>
  </si>
  <si>
    <t>Deanship of Scientific Research at King Khalid University for funding this work through Large Research Groups under grant number (RGP.2 / 361/44).</t>
  </si>
  <si>
    <t>Senior lecturers, who are currently teaching translation related courses in various higher institutions.</t>
  </si>
  <si>
    <t>• Post-editing (TPE): Defined as the technique where translators modify tasks produced by automated systems rather than starting from scratch.
• Accuracy, correctness, and grammatical fluency: The primary quality goals for post-editing machine-translated texts while maintaining the intended sense of the original.
• Senior lecturers: The target participant group, selected for their considerable years of experience and their ability to provide insights based on the progression of the translation sector over time.
• In-demand post-editing skills: The specific competencies that adaptation to these tools provides to translation students.
• Productivity: A key outcome for educators, indicating that the use of AI tools increases the output and efficiency of those teaching translation courses.
• Acceptance and integration: Terms used to describe the positive attitudes of the participants toward incorporating AI tools into the translation post-editing workflow.
• Ethical and professional issues: A category of concerns including data privacy, stereotypes, and job replacement, which the majority of lecturers viewed with a "neutral stance".
• Encouragement: The final stance attributed to the lecturers, concluding that they promote the use of AI tools in translation post-editing despite potential ethical complexities.
• Interplay of motivation and adaptability: A concept highlighted in the final paragraph as essential for the successful incorporation of AI-driven tools in language and translation education.
• Dynamic realm of language technology: The term used to describe the rapidly evolving industry environment for which students must be prepared.</t>
  </si>
  <si>
    <t>Linguistic challenges; Training needs; Ethical aspects</t>
  </si>
  <si>
    <t>Kirov 2022</t>
  </si>
  <si>
    <t>Are Translators Afraid of Artificial Intelligence?</t>
  </si>
  <si>
    <t>L55JHAXQ</t>
  </si>
  <si>
    <t>Vassil Kirov 
E-mail: vassil.kirov@gmail.com</t>
  </si>
  <si>
    <t>Institute of Philosophy and Sociology, Bulgarian Academy of Sciences, Sofia, Bulgaria</t>
  </si>
  <si>
    <t>To analyse the attitudes of Bulgarian translators towards Artificial Intelligence (AI) and to understand how they believe these technologies will transform their profession.</t>
  </si>
  <si>
    <t>Social media; Other: Translation agencies</t>
  </si>
  <si>
    <t>The research is part of a doctoral study, and was funded by the Institute of Philosophy and Sociology at Bulgarian Academy of Sciences (IPS-BAS). This research received also support from the BEYOND4.0 project, which has received funding from the European Union’s Horizon 2020 research and innovation programme under grant agreement No. 822296.</t>
  </si>
  <si>
    <t>Bulgarian translators, both freelancers and translators with employment and civil contracts in private agencies, state institutions, or European Union institutions</t>
  </si>
  <si>
    <t>1. Attitudes and Use of Technology
• High Levels of Trust: Overall trust in technology is high, particularly among younger translators (aged 18–30) who hold almost entirely positive views. Older respondents (50+) rely less on digital tools but still maintain general trust in them.
• User Profiles: Freelancers are the most frequent users of computer-assisted translation (CAT) tools, both online and offline, as they are motivated to optimise their work. In contrast, those working in state administration use these tools the least.
• Perceived Advantages: 64% of respondents see advantages in using AI. The most cited benefits are increased speed and saving time (53%) and making the translation process easier (35%). Notably, only 9% believe AI improves the quality of translation.
2. Conceptual Understanding of AI
• Confusion with Automation: A major result of the study is that most translators cannot clearly distinguish between AI and simple automation. They tend to assign the benefits of automation (efficiency/routine processing) to AI.
• Tool Classification: Most participants view professional tools like SDL Trados, MemoQ, and Wordfast as "just automatisation". Interestingly, Google Translator Toolkit was the only tool a majority (60%) classified specifically as AI.
• Definition Difficulty: 58% of respondents were unable to provide an exact definition of what Artificial Intelligence is.
3. Impact on Translation Genres
The study found that the impact of AI is expected to be highly uneven across different types of work:
• Routine/Technical Tasks: AI is predicted to have the greatest impact on technical texts (83%), document translations (76%), and legal texts (67%), which are seen as repetitive and routine.
• Creative Tasks: Conversely, AI is expected to have the least effect on fiction (74% little effect), screenplays, and simultaneous or consecutive interpretation, where human creativity is considered essential.
• Human Creativity: A vast majority (96%) of respondents believe that AI will never replace human creativity, and only 7% believe it will ever be able to convey emotions effectively.
4. Future Professional Roles and Job Security
• Transformation over Extinction: While 61% believe AI will change the profession, only 10% believe it will lead to the extinction of the translator's role.
• New Activities: The study identified emerging roles for human translators, primarily as editors or proofreaders of AI-translated texts (24%) and as "AI trainers" (9%) who teach the systems how to translate.
• Perceived Threat Level: 52% of respondents feel "slightly threatened" by AI, 31% do not feel threatened at all, and 17% feel "very threatened".
• Speed of Implementation: Roughly half of the respondents (47%) do not expect AI to ever become a real threat to their specific jobs.
Summary of the Bulgarian Context
The researchers concluded that the pessimistic scenarios of mass job destruction are not justified in the case of Bulgarian translators. Instead of replacing the professional, AI is viewed as an "organiser of new activities" that relieves humans of routine, technical burdens, allowing them to focus on editing and quality assurance.</t>
  </si>
  <si>
    <t>• Digital transformation: The overarching context of the study, describing how technologies like AI have the potential to change work and employment.
• Pessimistic scenarios: Used to refer to academic predictions of mass job extinction or destruction, which the researchers conclude are "not justified" in this case.
• "Organiser of new activities within the profession": A defining phrase used to describe AI’s role; rather than being a threat, it creates new tasks for humans.
• System’s teachers (or AI teachers): A new professional role identified for translators, where they supervise and "teach" the artificial intelligence systems.
• Editors of AI translated texts: The specific new activity expected to dominate the profession as routine translation is automated.
• Routine activities (or routine work): These tasks are described as being "conquered" by AI, including activities such as typing, inserting already translated text, or applying technical features.
• Helpful assistant: A term used to describe the translators' perception of AI as a tool that facilitates work rather than a "thinking, self-learning machine" that replaces them.
• Creative professions: The category to which translation belongs, used to suggest that the study's conclusions could apply to other artistic and creative fields.
• Professional transformation: Used instead of "extinction" to describe the shift in the mode, tasks, and tools of translation.
• Work quality: The authors conclude that expectations regarding the deterioration of quality due to digitalization have not been confirmed.
• New skills: A concluding recommendation highlighting the need for translators and professional organisations to predict future trends and adapt their training.</t>
  </si>
  <si>
    <t>Training needs; Working conditions; Ethical aspects</t>
  </si>
  <si>
    <t>Slessor 2020</t>
  </si>
  <si>
    <t>Tenacious technophobes or nascent technophiles? A survey of the technological practices and needs of literary translators</t>
  </si>
  <si>
    <t>LMSAI6DE</t>
  </si>
  <si>
    <t>Stephen Slessor
E-mail: stephen.slessor@gmail.com
ORCID: 0000-0002-9206-5674</t>
  </si>
  <si>
    <t>School of Translation and Interpretation, University of Ottawa, Ottawa, Canada</t>
  </si>
  <si>
    <t>Canada</t>
  </si>
  <si>
    <t>To interrogate and challenge the common assumption that literary translation is a unique, non-repetitive practice for which digital tools have few practical applications</t>
  </si>
  <si>
    <t>15</t>
  </si>
  <si>
    <t>This work was supported by the Social Sciences and Humanities Research Council of Canada.</t>
  </si>
  <si>
    <t>Literary translators members of the Literary Translators’ Association of Canada (LTAC)</t>
  </si>
  <si>
    <t>1. High Adoption of Standard Digital Tools
The sources indicate that literary translators have largely integrated standard computer tools into their workflows.
• Text Processing: Almost all respondents (98%) use standard word processors to compose their translations. While many still receive paper copies of source texts (67%), 80% receive them via email, facilitating the use of digital research methods.
• Research Resources: Use of electronic resources for linguistic and cultural research is nearly universal. General electronic dictionaries and general search engines are both used by 93.2% of participants.
• Secondary Resources: There is significant reliance on translation search engines like Linguee (75%), multi-domain term banks (70.5%), and online forums for translators (70.5%).
2. Ad Hoc Terminology Management
While literary translators frequently engage in terminology work, they rarely use professional software for it.
• Creation of Lists: Just over half (52%) of respondents create word lists or terminology databases.
• Format Preference: Most prefer flexible but manual formats; 74% keep these lists in word processing files and 26% use spreadsheets. Only 13% reported using specialised terminology files.
3. Low Use of Specialised CAT and MT Tools
A major finding is that specialized translation technologies, common in technical fields, have very low adoption rates in the literary domain.
• Translation Memory (TM): A strong majority (77.5%) reported never using TM for literary work.
• Machine Translation (MT): Use of MT is similarly low, with 70% stating they never use it.
• Concordancers: Despite the potential for stylistic research, 87.5% never use monolingual or bilingual concordancers.
4. Barriers to Technology Adoption
The sources identify several reasons why literary translators avoid specialised tools:
• Suitability: The most common reason for rejection is the belief that these tools are not suitable for literary work, often due to the perceived lack of repetition in the genre.
• Cost: The high price of specialized platforms (sometimes exceeding $1,000 per year) is a significant deterrent for a profession that is generally not high-earning.
• Lack of Familiarity: Over 40% of those who do not use CAT tools reported that they either did not know what the tools were or did not know how to use them.
5. Creative and "Off-Label" Uses
Interestingly, the small minority of translators who do use specialised technology often apply it in "creative" ways that differ from standard industry practice.
• TM for Formatting: Some use TM software to maintain complex formatting or to create searchable "bitext" back-ups rather than for leveraging repetitive segments.
• MT for Brainstorming: Users of MT often use it as a research aid to find synonyms or verify proper nouns rather than as a primary translation tool.
• Voice Recognition: One respondent used dictation software specifically to simulate the feeling of "generating ideas on the spot" like a radio host.
6. Future Needs and "Wish List"
When asked to design an ideal tool, participants expressed needs that align with current technological trends, even if they were unaware of them. Their requirements included tools for capturing printed text via camera, automated glossary creation, and searchable databases of all published books to track down quotations. The researcher concludes that while translators may seem resistant to technology, they actually have a broad range of ad hoc needs that current digital resources do not yet fully meet.</t>
  </si>
  <si>
    <t>1. Integration of Standard over Specialised Tools
The researcher established a baseline for Canadian literary translators, concluding that they make extensive use of standard computer tools (such as word processors) and electronic resources (such as online dictionaries and search engines) to support their work. However, there is little use of more specialised technologies like Translation Memory (TM) or Machine Translation (MT), which are often perceived as unsuitable for the stylistic complexities of literary texts.
2. Barriers to Specialised Technology Adoption
The study concludes that several significant barriers prevent the adoption of Computer-Assisted Translation (CAT) tools in the literary domain. Beyond the perceived unsuitability for non-repetitive texts, the high cost of professional platforms and a general lack of familiarity with the software act as major deterrents.
3. The "Creative" and "Ad Hoc" Use of Technology
A significant conclusion is that a small minority of literary translators employ specialised tools in unexpected or "creative" ways that differ from standard industry practices. For instance, some use TM for maintaining complex formatting rather than for repetitive segments, or use MT as a research aid for synonyms rather than for generating primary output. The researcher concludes that translators have a broad range of ad hoc needs—particularly for linguistic and cultural research—that are not currently met by existing specialised tools.
4. Limitations of Current Training Models
The survey revealed no apparent relationship between having received technology training and the actual use of specialised translation tools. This led the author to conclude that current training models may need to be rethought for literary translators, focusing more on awareness-raising, sharing best practices, and highlighting the "affordances" (potential uses) of various tools.
5. Future Recommendations for the Industry
Ultimately, the study recommends that future developments and research should focus on improving digital tools to specifically support the research-heavy, non-repetitive nature of literary work. The author concludes that for stabilisation to occur, literary translators must be actively included in the dialogue between researchers and developers to ensure that future technology is both accessible and relevant to their unique workflow.</t>
  </si>
  <si>
    <t>• Standard tools and electronic resources: Refers to the technologies (such as word processors and online dictionaries) that literary translators use extensively in their daily practice.
• Specialised technologies / CAT tools: The term for advanced translation software (like Translation Memory) that currently sees little use in the literary domain but is noted for having potential "suitable applications".
• Uptake of technology: Used to describe the expected increasing adoption of digital tools as the profession evolves.
• Affordances of tools: A central concept in the conclusion, referring to the potential uses or creative applications of a tool that might not be immediately obvious to the user.
• Ad hoc needs: Describes the specific, research-heavy requirements of literary translators—particularly for linguistic and cultural research—that existing specialised tools often fail to meet.
• Concordancers and corpus-based research: Highlighted as specific areas where translators showed interest, provided the functionality of tools and availability of suitable corpora are improved.
• Ongoing dialogue: The recommended process of collaboration between researchers, developers, and translators to ensure future tools are relevant to literary work.
• Active professional literary translators: The key stakeholder group that the author concludes must be granted a greater role in the broader discussion on technology.
• Computer age: The current era that the author suggests literary translators can finally "make their peace with" if their unique needs are addressed through inclusive innovation.
• Best practices: The conclusion suggests that sharing these practices, rather than traditional training models, may be more effective for this specific group of professionals.</t>
  </si>
  <si>
    <t>Linguistic challenges; Technical aspects</t>
  </si>
  <si>
    <t>Kilic 2025</t>
  </si>
  <si>
    <t>Universal Basic Income as a Response to Automation? Attitudes of Human Translators Facing Neural Machine Translation</t>
  </si>
  <si>
    <t>R2VFHSVH</t>
  </si>
  <si>
    <t>Azer Kılıç,  
E-mails: azer.kilic@bilgi.edu.tr; azerkilic@gmail.com</t>
  </si>
  <si>
    <t>Department of Sociology, Istanbul Bilgi University</t>
  </si>
  <si>
    <t xml:space="preserve">How do professionals who may be at risk of job loss due to AI-driven automation view a universal basic income (UBI) as a policy response to technological unemployment? </t>
  </si>
  <si>
    <t>The Scientific and Technological Research Council of Türkiye, grant number 121K968</t>
  </si>
  <si>
    <t>1. Correlation Between Job Insecurity and UBI Support
The core finding is that subjective job insecurity significantly shapes attitudes toward UBI. A majority of the participants (25 out of 36 who answered) supported UBI as a social right. Those who expressed cognitive and affective job insecurity—worrying about the likelihood and emotional impact of job or wage loss—were primarily found among UBI supporters and freelancers working in fields perceived as highly susceptible to automation, such as technical and medical translation.
2. Three Distinct Attitudinal Patterns
The researcher identified three recurring patterns in how translators frame their views on UBI based on their political outlooks and understandings of capitalism:
• Individual Responsibility and Work Ethic (Opposition): A small group (5 participants) opposed UBI from an economic-liberal perspective. These individuals did not report job insecurity and instead emphasized self-improvement, human capital investment, and a strong work ethic. They expressed concerns that UBI might encourage laziness, welfare dependence, or be "unfair" to those still working.
• Anti-Capitalist Skepticism (Skepticism): This group (6 participants) was skeptical of UBI from an egalitarian perspective, viewing it as "hush money" intended to prevent starvation without addressing the root causes of economic injustice. They preferred collective action through unions and political interventions, such as shortening the work week and a more equitable distribution of wealth, rather than surface-level remedies like UBI.
• Social Rights and State Responsibility (Support): The largest group (25 participants) viewed UBI as a citizenship right and a necessary tool for a "social state" to ensure equitable income distribution. While they supported the concept, they often expressed pessimism regarding its feasibility in Turkey compared to wealthier European nations like Germany or Switzerland.
3. Variation by Expertise and Specialisation
The results show that a translator's area of expertise influences their perception of automation risk:
• Technical and Legal Translators: These professionals are more likely to already incorporate machine translation into their workflows and view the transition to post-editing as an inevitable transformation of their role.
• Literary and Book Translators: This group generally views their work as less susceptible to automation due to the requirement for creativity and contextual understanding, though they still worry about the broader societal implications of human replacement.
4. Impact of the Institutional Context
The study concludes that the Turkish institutional environment heavily influences these attitudes. Because Turkey has one of the weakest unemployment benefit schemes in the OECD, translators feel more vulnerable to technological disruptions. Consequently, many supporters view UBI not as a replacement for the welfare state, but as a complementary social right that could provide security where current systems fail.
Furthermore, participants noted that the "uberization" of translation—characterized by declining pay rates for post-editing tasks and insecure freelance conditions—acts as a secondary driver for UBI support independent of total job loss.</t>
  </si>
  <si>
    <t>1. The Link Between Insecurity and Policy Preference
The central conclusion is that job insecurity shapes attitudes toward UBI. Those who report high levels of "cognitive" insecurity (the assessment of likelihood of job loss) and "affective" insecurity (the worry associated with that loss) are significantly more likely to support UBI. These individuals are predominantly freelancers working in technical or medical fields where automation is perceived as an immediate threat to both employment and wage levels.
2. Influence of the Institutional Context
The author concludes that the Turkish welfare system plays a decisive role in these attitudes. Turkey has the highest perceived technological risk in the OECD, which the sources attribute to its weak labor market institutions and the absence of a generous unemployment benefit scheme. Consequently, translators in Turkey view UBI not as a replacement for the welfare state, but as a necessary "social right" to fill the gaps in a system that currently offers little protection against technological disruption.
3. Political and Ideological Framing
A major conclusion is that translators do not view UBI through a purely economic lens; instead, they frame it according to their political values and understanding of capitalism:
• Economic Liberals: Oppose UBI because they believe it undermines the work ethic and individual responsibility, favouring self-improvement and "human capital investment" instead.
• Anti-Capitalist Skeptics: View UBI as "hush money" that masks the root causes of economic injustice without challenging the "inhumane ideology" of technocracy.
• Social Rights Advocates: See UBI as an essential tool for equitable income distribution in a "social state," even if they remain pessimistic about its actual implementation in Turkey.
4. Challenging Technological Determinism
The study concludes that technological unemployment should not be viewed as an inevitable "natural" outcome. Some participants argued that unemployment is a result of deliberate policies rather than the technology itself. Therefore, the sources highlight a need to move beyond "surface remedies" like UBI to address deeper issues such as wealth inequality, shorter work weeks, and the "uberization" of translation work.
5. The Need for Democratised Debate
Finally, the researcher concludes that there is an urgent need to democratise the debate regarding AI and automation. Rather than having policy responses "parachuted from above" by tech elites or governments, the study advocates for the active consultation and empowerment of the professionals whose livelihoods are most at risk.</t>
  </si>
  <si>
    <t>• Universal Basic Income (UBI): The central policy response investigated, defined as an unconditional regular payment to meet basic needs.
• Technological unemployment: The specific economic threat caused by AI-driven automation that UBI is intended to address.
• Job insecurity (Cognitive and Affective): The core finding of the study, where cognitive insecurity refers to the perceived likelihood of job loss and affective insecurity refers to the associated worry.
• Subjective technological risks: The perceived danger of job loss due to automation, which the author notes is highest in Turkey among OECD countries.
• Economic individualism: A political framing used by opponents of UBI to emphasize individual responsibility and a strong work ethic.
• Anti-capitalist outlook: A perspective held by skeptics who prefer collective action over UBI, which they may view as a "surface remedy".
• Social right: The conceptual framing used by the majority of participants who support UBI based on egalitarian and solidaristic values.
• Weak welfare system: Specifically the lack of generous unemployment benefit schemes, which the author concludes is a major driver of UBI support in Turkey.
• Compensatory and protective policies: The category of social interventions, including UBI, that individuals fearing automation are more likely to support.
• Technological determinism: A concept challenged by some participants who believe unemployment is an outcome of deliberate policies rather than an inevitable result of technology.
• Surface remedies: A critical term used for UBI by those who believe it fails to address the root causes of economic injustice.
• Democratising debates: The author’s concluding recommendation to include affected professionals in discussions about the direction of technological change.</t>
  </si>
  <si>
    <t>Girletti 2024</t>
  </si>
  <si>
    <t>M4RXICRG</t>
  </si>
  <si>
    <t>Beyond the assembly line: exploring salaried linguists’ satisfaction with translation, revision and PE tasks</t>
  </si>
  <si>
    <t>Sabrina Girletti
E-mail: sabrina.girletti@unige.ch;
ORCID: 0000-0002-0990-1468</t>
  </si>
  <si>
    <t>Department of Translation Technology, Faculty of Translation and Interpreting, University of Geneva</t>
  </si>
  <si>
    <t>To extend existing knowledge on translators’ work-related attitudes and inform better management practices in translation workflows, particularly in in-house translation settings.</t>
  </si>
  <si>
    <t>4</t>
  </si>
  <si>
    <t>Other: Language services’ directors or project managers who filled out the first questionnaire</t>
  </si>
  <si>
    <t>Corporate linguists working in the language services that had implemented MT.</t>
  </si>
  <si>
    <t>1. Task Characteristics and Perceptions
• Task Enjoyment: Translation received the highest enjoyment score (4.36/5), followed closely by revision (4.30/5), while PE was significantly less appreciated (3.59/5).
• Creativity: A large majority (89%) view translation as a creative task. While revision is also considered creative, PE ranks last, with 24% of participants explicitly disagreeing that it is creative.
• Complexity: All three tasks are perceived as complex, requiring specific skills and knowledge. Translation is seen as the most complex, followed by revision and then PE. Notably, the recognition of PE as a complex task requiring expertise is viewed as a positive shift in professional perception.
• Task Identity (Creating a new text): Most translators feel they are "creating a new text," while revisers tend to disagree. Interestingly, PE allows for a higher level of task identity than revision, as post-editors feel more involved in producing the final content.
2. Control and Ability Utilisation
• Control over Quality: Translation offers the most control (83.5% agreement). Revision and PE both provide less control.
• Pre-translation Paradox: Linguists working in "pre-translation mode" (where the target zone is pre-filled with MT) reported statistically significant higher levels of control than those receiving MT suggestions in a separate window.
• Skill Use: Most linguists feel they make "good use" of their skills in translation and revision (approx. 88%), while this figure drops to 76% for PE.
3. Professional Context and Autonomy
• Lack of Autonomy: Only a minority (16.5%) of in-house linguists can choose their daily tasks; for 56.5%, tasks are imposed by project managers.
• Task Variety: While 41% of respondents feel MT has made their work more varied and stimulating, an equal 41% remain neutral on the matter.
4. Factors Influencing PE Satisfaction
• The Impact of Training: Linguists who received formal PE training reported statistically significant higher levels of enjoyment compared to those without training. In contrast, revision training did not significantly increase revision enjoyment.
• Prior Experience: Linguists with prior professional experience in PE (gained before their current role) were significantly more satisfied with the task than those who started PE in their current company.
• Revision/PE Correlation: There is a strong link between attitudes toward revision and PE; linguists who enjoy revision tasks are significantly more likely to enjoy PE than those who prefer translation above all else.
• MT Quality: A significant positive correlation was found between the perceived quality of the MT system and the level of enjoyment experienced during PE tasks.</t>
  </si>
  <si>
    <t>The Risk to Professional Satisfaction
The author concludes that because "translators must translate if they are to be ultimately satisfied", the industry-wide shift towards revision-related tasks (including PE) risks undermining the intrinsic satisfaction derived from the "art of translating". To combat the feeling of working on an "assembly line," the researcher suggests that jobs must be enriched rather than simplified, specifically by allowing linguists more autonomy to choose their own working methods and daily tasks.
The PE Paradox: Control and Task Identity
A significant conclusion of the study is that post-editing offers a higher level of task identity and control over final quality compared to revision. This is attributed to the fact that:
• Revisers are often instructed to keep interventions to a minimum, which restrains their sense of control.
• Post-editors feel more involved in producing the final content and often have the final say on the text since PE tasks are frequently left unrevised.
• Surprisingly, working in "pre-translation mode" (where the text is fully pre-filled with MT) led to statistically significant higher levels of perceived control than receiving suggestions in a separate window.
The Role of Training and Experience
The study concludes that targeted PE training is a highly effective tool for improving professional attitudes. While revision training does not significantly increase enjoyment of revision, formal PE training significantly enhances task enjoyment and self-efficacy. Furthermore, prior experience with PE in different work settings positively influences a linguist’s attitude toward the task, suggesting that familiarity breeds professional acceptance.
Institutional and Pedagogical Shifts
The researcher highlights that in-house corporate settings provide an optimal environment for using technology because linguists can leverage MT without the economic pressures or rate-setting concerns faced by freelancers. Finally, the study concludes that university curricula must evolve:
• PE should not be treated as a peripheral activity introduced late in the program.
• Expectations regarding the neural MT era should be shaped early in training to prepare students for the reality that MT is a prevalent, core part of the modern profession.
This focus on the psychological and procedural differences between tasks provides a deeper understanding of why translators may resist certain automated workflows and how management can improve the motivating potential of the job.</t>
  </si>
  <si>
    <t>• Task satisfaction hierarchy: The central finding that a clear ranking exists among professional tasks, with translation valued most, followed by revision, and post-editing (PE) ranked lowest.
• Intrinsic satisfaction: The internal gratification derived from the "art of translating", which the author concludes is at risk of being undermined by the industry-wide shift toward revision-related tasks.
• Self-actualisation: A psychological need for personal growth and fulfilment in work; the sources suggest linguists must adopt new "coping mechanisms" to safeguard this feeling in automated environments.
• Assembly line: A metaphor used to describe the industrialised, repetitive nature of modern translation work; the author concludes that to avoid this perception, jobs must be "enriched rather than simplified".
• Work-scheduling autonomy: The degree of freedom a linguist has to choose their daily tasks and working methods. The study concludes that providing such autonomy is essential for enhancing job satisfaction, even though it is currently rare for corporate linguists.
• Targeted PE training: Specific, focused education that the author identifies as a critical investment for optimising the integration of MT and creating a more motivating work environment.
• Peripheral activity: A term describing the common pedagogical mistake of introducing post-editing late in university curricula, which the author concludes leaves students unprepared for the "realities of the profession".
• Neural MT era: The current technological period where machine translation is a prevalent, core component of the workflow rather than an optional tool.
• Motivating potential: The capacity of a job to provide fulfilment; the sources conclude that understanding the distinct factors of task satisfaction allows managers to tailor work to individual strengths.
• Task satisfaction as a facet: The conceptualisation of satisfaction with specific work activities as the primary element that correlates most strongly with overall job satisfaction.</t>
  </si>
  <si>
    <t>Technical aspects; Training needs; Working conditions</t>
  </si>
  <si>
    <t>Lande 2024</t>
  </si>
  <si>
    <t>An Investigation into the Impact of Translation Technologies on the Roles of Human Translators in the Financial Services Industry in South Africa</t>
  </si>
  <si>
    <t>Y2H9UF55</t>
  </si>
  <si>
    <t>Lindelwa Amanda Lande</t>
  </si>
  <si>
    <t>Department of Languages, Cultural Studies, and Applied Linguistics
of the Faculty of Humanities at the University of Johannesburg</t>
  </si>
  <si>
    <t>To investigate the current role and use of language technologies by the language practitioner in the financial service industry in South Africa. Additionally, the study also aimed to determine how institutions of higher education are preparing language practitioners for their roles in a workplace such as a financial services provider (FSP)</t>
  </si>
  <si>
    <t>Seasoned language practitioners with more than 10 years of experience, drawn from four selected financial service providers (FSPs) in South Africa, junior language practitioners (JLPs) who had graduated within the last 10 years and were working either in-house or as freelancers for FSPs and lecturers who were responsible for training or overseeing the training of aspiring language practitioners</t>
  </si>
  <si>
    <t>1. Shift in Professional Roles and Tasks
• Dominance of Editing: The study found that language practitioners in FSPs are now primarily tasked with text editing and plain language revision.
• Decreased Translation Demand: There is an increasingly reduced need for in-house translation. This is attributed to a gradual "language assimilation" where customers often prefer or insist on receiving communication in English, leading to a decline in the demand for documents in indigenous South African languages.
• Regulatory Drivers: The focus on plain language is not a result of technological change but is mandated by South African legislation, such as the Consumer Protection Act (CPA) and the National Credit Act (NCA), which require documents to be accessible and understandable for consumers.
2. Integration and Use of Technology
• Limited Adoption of CAT and MT: The use of Computer-Assisted Translation (CAT) tools and Machine Translation (MT) remains very limited and voluntary within FSPs. While practitioners are generally aware of these tools, their use is often at the individual’s discretion rather than being a mandatory institutional workflow.
• Barriers to Use: Adoption is hindered by budget constraints, a lack of time for staff training, and the fact that current MT systems are often unreliable for low-resource indigenous languages.
• Human-Centric Workflows: Most participating FSPs were plotted on the conservative end of the interaction spectrum, relying primarily on Human Translation (HT) or HT with only optional MT support to mitigate reputational risks [313, 401, 5.1].
3. Education versus Industry Realities
• Theory-Practice Imbalance: A major finding was the discrepancy between university curricula and workplace needs. While Higher Education Institutions (HEIs) focus heavily on translation theory and practice, FSPs require more expertise in plain language editing and corporate soft skills.
• Graduate Readiness: Graduates are perceived to have a strong theoretical and linguistic foundation but often lack the specific technical skills and practical experience required to handle specialized financial and legal documentation immediately upon entry.
4. Future Outlook and "Post-Editing"
• Shift toward Post-Editing: Both experienced and junior practitioners foresee their future roles evolving toward the post-editing (PE) of machine-generated output as technology improves.
• Human Oversight: Despite the advancement of Artificial Intelligence (AI), practitioners and lecturers agree that human intervention will remain essential for high-risk, customer-facing documents to ensure accuracy, proper tone, and compliance.
• Opportunity vs. Threat: Most practitioners do not view technology as a direct threat to their jobs in the next five years, but rather as an opportunity to automate mundane tasks, allowing them to focus on higher-order cognitive and creative functions.</t>
  </si>
  <si>
    <t>1. Discrepancy Between Training and Workplace Demand
A significant conclusion is the mismatch between the focus of Higher Education Institutions (HEIs) and the actual needs of the FSP industry. While HEIs prioritise translation training and an in-depth focus on tools like CAT, MT, and AI, this task is a secondary concern in FSPs. In contrast, the study found that plain language work is in high demand within the financial sector, yet it is not a primary focal point in university curricula.
2. Limitations of Institutional Preparedness
The researcher concluded that HEIs cannot realistically prepare language practitioners for every specific working environment or sector-specific technical need. Consequently:
• Universities provide a strong theoretical foundation and generic practical skills, but graduates often lack the specific skills required for financial or legal texts.
• In-house training is deemed essential for new recruits to acquire specific competencies, such as plain language editing, that are not fully mastered at university.
3. The Resilience of Professional Expertise over MT
While technology is advancing rapidly, the study concludes that professional expertise remains vital, particularly for indigenous South African languages. Professionals possess the necessary knowledge to advise clients against the use of automated systems in high-risk contexts where machine output quality is insufficient.
4. Shifting Roles Toward Post-Editing
The study concludes that the role of the language practitioner is steadily changing. Due to the ubiquity of automated translation systems, the future role is projected to shift from translating from the outset to post-editing and quality-assuring machine-generated output. To remain relevant, practitioners must combine linguistic expertise with technological proficiency and interpersonal skills.
5. Necessity for Continuous Upskilling
Ultimately, the study suggests that language practitioners must take responsibility for their own self-development. Because of the rapid technological shifts, practitioners need to remain engaged with advancements to avoid redundancy and to position themselves effectively as specialists within a digitised industry. This requires a collaborative relationship between educational institutions and the corporate sector to ensure curricula remain as responsive as possible to evolving industry demands.</t>
  </si>
  <si>
    <t>• Plain language revision (or work): Identified as being in high demand within financial services providers (FSPs), yet often a secondary concern in university translation curricula.
• Discrepancy (or Mismatch): Used to describe the gap between the focus of Higher Education Institutions (HEIs) on translation theory and the actual workplace needs of the financial sector.
• Post-editing (PE): Described as the primary future role of language practitioners as they transition from translating from scratch to quality-assuring machine-generated output.
• Linguistic expertise, technological proficiency, and interpersonal skills: These three categories form the triad of competencies the author concludes are essential for navigating the complex South African language industry.
• Strong theoretical foundation: Term used to describe the primary strength of HEI training, which serves as a base for more generic practical skills.
• In-house training: Highlighted as an essential requirement for new recruits to acquire sector-specific competencies, such as financial editing, that cannot be fully mastered at university.
• Upskilling and Self-development: These terms represent the responsibility of the individual practitioner to remain engaged with technological advancements to avoid redundancy.
• Continuous Professional Development (CPD): Recommended as a strategy for practitioners to maintain relevance through professional bodies and translator associations.
• Low-resource languages: Refers to indigenous South African languages where professional human expertise remains vital due to the insufficient quality of machine translation.
• Intralingual translation: A specific term used to categorise plain language revision at the postgraduate level.
• Technological awareness: Described as a key role for HEIs in preparing students for evolving industry demands.
• Reputational risk: A primary factor that dictates when a practitioner should advise a client against the use of automated systems.</t>
  </si>
  <si>
    <t>Blagodarna 2018</t>
  </si>
  <si>
    <t>W44GKG8M</t>
  </si>
  <si>
    <t xml:space="preserve">Insights into post-editors’ profiles and post-editing practices </t>
  </si>
  <si>
    <t>Olena Blagodarna
E-mail: olena.blagodarna@e-campus.uab.cat
ORCID: 0000-0001-5234-7119</t>
  </si>
  <si>
    <t>Universitat Autònoma de Barcelona</t>
  </si>
  <si>
    <t>The aim of this article is to provide an updated snapshot of post-editors’ profiles and working routines.</t>
  </si>
  <si>
    <t>ProjecTA project Translation projects with Statistical Machine Translation and Postediting, grant number FFI2013-46041-R [MINECO / FEDER, 
UE; Principal researcher: Dr. Olga Torres Hostench, Grup Tradumàtica, UAB]</t>
  </si>
  <si>
    <t>Individuals working across the broad spectrum of MTPE-related activities.</t>
  </si>
  <si>
    <t>Professional Profiles and Experience
• The Experience Gap: While translation experience generally increases with a respondent's age, experience in post-editing (PE) is more heterogeneous. Notably, no participant in the study reported having more years of experience in PE than in traditional translation.
• A Newer Occupation: The majority of respondents have less than 10 years of experience in PE, confirming that it is a relatively new professional occupation. Younger participants did not show a higher level of involvement in PE compared to their older colleagues.
• Language Distribution: English emerged as the most popular source and target language. While European languages are dominant, the results show MT gaining traction for high volumes in non-European languages such as Japanese and Hebrew.
Productivity and Compensation
• Throughput Rates: The perceived average productivity for the relative majority of participants falls between 300 and 700 words per hour (WPH). Specifically, the 500–700 WPH range was the most frequent rate reported.
• The Experience Advantage: A sub-group of more experienced post-editors (those with over five years of experience) reported significantly higher productivity, skewed towards 900 to over 1,000 WPH.
• Rate-Setting Metrics: The most common criterion for establishing PE rates is the number of source text (ST) words, followed by hourly or daily rates. Calculating rates based on the "number of edits" is the least common practice, likely because the number of changes may not accurately reflect the actual effort involved.
Workflow and Common Practices
• Prevalence of Full PE: The study found a much higher frequency of "full PE" assignments (aiming for human-like quality) compared to "light PE". Nearly half of the respondents perform light PE in fewer than 10% of their projects, while performing full PE in more than 70% of their projects.
• Task Routine: The most common preparation task is the evaluation of raw MT output quality to decide if it should be post-edited or translated from scratch. While automation of some operations (like "search-replace") is common, providing feedback to IT teams to improve MT engines is scarce.
• Typical Assignment Materials: Post-editors typically receive a source text file accompanied by either raw MT output or a translation memory (TM) containing segments of specified origin.
Tool Usage and Subject Domains
• Instrumental Competence: Translators rely heavily on TM systems and generic tools (such as Word or Excel) for PE tasks. The use of specialised PE environments (e.g., PET) is very rare in professional workflows.
• Dominant Fields: The most regular domains for MTPE are IT, software, website localisation, and e-commerce. Other common fields include Law, Tourism, and Entertainment, whereas PE projects in Real Estate or Social Sciences are scarce</t>
  </si>
  <si>
    <t>A New and Emerging Professional Occupation
The study concludes that post-editing is a "relatively new professional occupation". This is evidenced by the fact that the majority of respondents have less than 10 years of experience in the field, and none of the participants reported having more years of experience in PE than in traditional translation. The researchers conclude that the role of the translator is fundamentally changing in light of recent developments in the machine translation post-editing (MTPE) sector.
The Dominance of "Full PE"
A salient conclusion is the strong trend towards "full PE" assignments. The sources indicate that the industry is moving away from "light" edits toward requiring "human-like" output quality, particularly for IT-related content. This shift suggests that the market increasingly views MTPE as a viable method for producing high-quality final products rather than just "gist" translations.
The Experience-Productivity Correlation
The researcher concludes that professional experience is a primary driver of efficiency. While the general average for throughput is between 300 and 700 words per hour (WPH), experienced post-editors (those with over five years in the role) consistently achieve significantly higher rates, reaching 900 to over 1,000 WPH.
Tool Usage and Workflow Gaps
The study identifies a disconnect between available technology and actual professional practice:
• Reliance on Generic Tools: Most post-editors rely on translation memory (TM) systems and generic software (like Word or Excel); notably, specialised PE instruments (such as PET) are currently not common in professional routines.
• Lack of Feedback Loops: Translators are rarely involved in providing feedback to IT teams to improve MT engines. The author concludes this may be due to a lack of necessary skills, a lack of opportunity provided by language service providers (LSPs), or a perception that such practices are irrelevant.
Implications for Academia and Training
The study concludes that these empirical findings should serve as a reference point for tailoring translator training programs to meet market demands.
• Integrated Approach: Training should go beyond basic industry requirements to focus on a broader scope of competences, including terminology, translation technology, and project management.
• Balancing Expectation and Agency: The author concludes that academia must find a balance between teaching what the industry expects and enhancing trainees' expertise so that they can "go beyond such expectations" and exert more control over the MTPE process.</t>
  </si>
  <si>
    <t>• Professional profiles and routines: The core focus of the study, referring to the background, experience, and daily working habits of language experts.
• Current tendencies in the MTPE field: The emerging patterns and widespread practices within the machine translation post-editing sector.
• PE throughput rates: The measurement of productivity, which the study concludes typically falls between 300 and 700 words per hour for the majority of participants.
• New professional occupation: A term used to describe post-editing, noting that most practitioners have fewer than 10 years of experience in the role.
• Full PE: The most common type of assignment, particularly for IT-related content, involving editing machine output to reach "human-like" quality.
• PE workflow: The sequence of tasks in an assignment, typically starting with an ST file accompanied by raw MT output or a specified TM.
• Automation of PE operations: The use of technical functions (such as 'search-replace') to handle repetitive editing tasks before or during the process.
• Specialized PE instruments: Tools specifically designed for post-editing (such as PET) which the author concludes are currently not very common in professional workflows.
• Instrumental and technical skills: The practical abilities deployed by post-editors that differentiate their role from traditional translation.
• Changing role of translators: The shift in professional identity necessitated by recent developments and market demands in the MTPE sector.
• Scope of competences: The specific skill sets currently required by post-editors, including Terminology, Translation Technology, Entrepreneurship, and Project Management.
• Integrated approach to translator training: The recommended educational strategy that seeks to balance industry expectations with the enhancement of trainees’ expertise.
• Drafting curricula: The process of creating training programs that align with the empirical findings of the market while allowing students to go beyond basic industry requirements.</t>
  </si>
  <si>
    <t>Munoz-Miquel 2025</t>
  </si>
  <si>
    <t>Approaching machine translation in the medical and health field: An exploratory study</t>
  </si>
  <si>
    <t>25FG63IV</t>
  </si>
  <si>
    <t>Ana Muñoz-Miquel
E-mail: munoza@uji.es
ORCID 0000-0002-2249-545X</t>
  </si>
  <si>
    <t>Universitat Jaume I</t>
  </si>
  <si>
    <t>To explore medical translators’ use of and opinions on MT in the English-Spanish language pair, as well as its impact on their professional performance and competences.</t>
  </si>
  <si>
    <t>27</t>
  </si>
  <si>
    <t>Professional associations networks; Universities</t>
  </si>
  <si>
    <t>1. Usage Patterns and Motivations
• Daily Adoption: Eight out of the ten participants use MT daily. Key drivers include the need for increased productivity, client requests for post-editing (PE) services, and the direct integration of MT engines within their translation interfaces.
• Professional Divide: Freelancers fall into two camps: those who offer PE as a formal service and those who refuse PE contracts (due to low rates) but use MT privately as a drafting tool. In-house translators typically use institutional engines fed with internal data.
• System Preference: Most participants use commercial engines, primarily DeepL Pro, though they avoid the free web version due to confidentiality concerns.
2. Genre-Specific Quality and "Risk Assessment"
The study found that translators have intuitively developed the ability to assess the risk of a text before applying MT.
• High-Quality Genres: MT performs best in highly conventionalised, repetitive, or syntactically simple texts, such as package leaflets, instructions for use, institutional reports, and research articles.
• Low-Quality Genres: MT struggles with texts that are highly specialised (e.g., medical treatises), creative (e.g., marketing), or patient-centred (e.g., patient narratives and fact sheets), where empathy and nuanced communication are essential.
3. The "Double-Edged Sword" of Neural MT (NMT)
• Hidden Errors: A critical finding is that while NMT produces fluent and natural-sounding output, this creates a "danger" because meaning errors and misinterpretations are harder to detect than in older, clunkier systems.
• Common Mistakes: Despite the apparent fluency, recurring errors include the mistranslation of specialised terms and acronyms, register mismatches, and various "calques" where the MT preserves English syntactic structures in Spanish.
• Lack of Guidelines: Notably, none of the participants used or had access to formal PE guidelines, relying instead on their own professional criteria to determine the necessary level of correction.
4. Advantages and Drawbacks
• Benefits: Beyond speed and productivity, translators highlighted ergonomic benefits, such as reduced typing (improving physical well-being) and the reduction of the initial "mental effort" required to produce a first draft.
• Disadvantages: Concerns were raised regarding "intellectual laziness," the loss of the creative essence of translation, and the potential for professional precariousness as agencies use MT to justify lower rates and tighter deadlines.
5. Redefinition of Competences and Roles
The results suggest the profession is shifting toward two distinct future profiles:
• The Medical Specialist: A professional with deep thematic knowledge required for high-risk, non-automatable texts.
• The Language Consultant: A role that goes beyond translation to advise clients on managing multilingual resources and MT implementation.
• Shift in Skills: There is a heightened emphasis on editing competence (spotting "hidden" errors) and ethical competence (critically assessing when the use of MT is appropriate or confidential).
In comparison to the Vidrequin (2023) results discussed in our conversation history—which noted that 80% of freelance medical translators accepted MT—Muñoz-Miquel’s findings confirm a similar acceptance rate but provide deeper insight into how genre-specific limitations dictate professional workflows in the English-Spanish pair.</t>
  </si>
  <si>
    <t>1. Necessity of Human Oversight in a "Safety-Critical" Domain
Because medical translation is a "safety-critical" field where errors can lead to serious harm, the researcher concludes that human intervention is more vital than ever. Although Neural MT (NMT) produces fluent output, this fluency acts as a "double-edged sword" by masking meaning errors and misinterpretations that only a qualified professional can detect.
2. Development of "Risk Assessment" Competence
A significant conclusion is that experienced translators have intuitively developed the ability to "assess the risk of the text". The study identifies a clear divide in MT suitability based on genre:
• High Suitability: Highly conventionalised and repetitive genres (e.g., package leaflets, institutional reports, and research articles).
• Low Suitability: Creative, marketing, or patient-centred texts where empathy is required, as well as highly specialised treatises where automation currently fails to meet accuracy standards.
3. Redefinition of Professional Roles
Muñoz-Miquel concludes that the profession is shifting toward two distinct future profiles to provide "added value" over automation:
• The Medical Specialist: A professional with deep thematic and linguistic knowledge required for high-risk, non-automatable content.
• The Language Consultant: A broader role where the professional advises clients on managing multilingual resources and the ethical implementation of technology.
4. Re-prioritisation of Competences
The study concludes that while traditional translation skills remain the foundation, certain competences must be reinforced for the modern market:
• Editing Competence: Specifically the ability to spot "fine-grained" or "hidden" errors typical of NMT.
• Ethical and Critical Competence: The ability to assess the implications of MT regarding confidentiality, power imbalances, and data reuse.
• Thematic Competence: Sound medical knowledge is essential to detect content errors that "hide" behind the apparent correctness of machine output.
5. Strategic Shifts in Translator Training
The researcher concludes that university education must adapt by adopting a two-tiered approach:
• Undergraduate Level: Focus on basic translation skills and "thinking critically". One informant noted that students must learn to translate without MT first to avoid "stylistic contamination".
• Postgraduate Level: Promotion of deep specialisation in the medical field and the development of "MT literacy". This includes understanding the basics, risks, and benefits of technology to engage confidently with developers and clients.
6. Need for Ethical and Professional Frameworks
Finally, the study concludes that for technology to remain an opportunity rather than a threat, all stakeholders (translators, employers, and clients) must use it correctly and ethically. There is a pressing need for clear post-editing guidelines, which the study found are currently almost non-existent in professional practice.</t>
  </si>
  <si>
    <t>• Qualitative exploratory study: Used to define the research nature, providing rich, varied data from ten medical translators.
• Preliminary approach: A term used to indicate that, due to the small sample size, the findings are not yet generalisable or representative of the entire population.
• Workflow integration: Describes the process by which practitioners have adopted machine translation (MT) into their daily professional habits.
• Tasks and profile: The core focus of the study’s conclusion regarding how technology is redefining the professional roles of medical translators.
• Mixed-methods research: The author's proposed future direction to combine these qualitative findings with a quantitative survey to obtain quantifiable data.
• GenAI (Generative Artificial Intelligence): A critical term mentioned as a limitation of the current study (conducted before the public availability of tools like ChatGPT) and a priority for future research.
• MT and AI impact: The overarching concept for assessing the transformation of both the translation profession and university training.
• Ethical framework: A concluding recommendation calling for research to address the wider implications and proper use of these technologies.
• MT literacy: Defined as a central competence that involves understanding the basics, risks, and benefits of the technology to engage confidently with clients and developers.
• Specialisation: Identified as the necessary goal for postgraduate training to provide the deep thematic and linguistic knowledge required for high-risk medical content.
• Safety-critical domain: While introduced earlier, this serves as the final justification for why human intervention remains central to the field.
• Risk assessment: A concluding theme describing the translator's ability to determine if a specific text genre is suitable for automation based on its complexity or creative component.</t>
  </si>
  <si>
    <t>Aranberri 2024</t>
  </si>
  <si>
    <t>When minoritized languages encounter MT: perceptions and expectations of the Basque community</t>
  </si>
  <si>
    <t>RM8SCFD2</t>
  </si>
  <si>
    <t>Nora Aranberri
ORCID: 0000-0003-3719-9167
Scopus: 55936158600</t>
  </si>
  <si>
    <t>HiTZ Center, University of the Basque Country (UPV/EHU)</t>
  </si>
  <si>
    <t>To explore the status of MT adoption within the Basque society and for Basque. Considering the implications of MT use for the minoritized language, it was our aim to learn about the technology’s perceived influence on translation flows.</t>
  </si>
  <si>
    <t>Social media; Professional associations networks; Universities; Other: Targeted emails to translation companies</t>
  </si>
  <si>
    <t>Translators, interpreters and other language professionals</t>
  </si>
  <si>
    <t>MT's Widespread Adoption and Positive Perception:
• Adoption Rates: Approximately 72.18% of all respondents acknowledge using MT for Basque, with 26.25% using the technology "very often".
• Usefulness: The overall attitude towards the technology is remarkably positive; 91.39% of total respondents consider MT useful either "sometimes" or "very often".
• Future Growth: The technology is expected to remain a permanent fixture, as 60% of respondents are certain their use of MT will increase in the future.
Usage Habits and Contexts:
• The Workplace as a Primary Context: Both language specialists and general users engage in translation most frequently in the workplace. Around 30% of translation needs in the workplace are addressed using MT "very often".
• Text Production vs. Comprehension: Surprisingly, despite high levels of Basque proficiency among respondents, 78.30% use MT to produce texts in Basque, while only 24.61% use it to understand Basque texts. This suggests users may prefer drafting in a major language like Spanish before using MT to generate the Basque version.
• Translation Units: MT is frequently used as a dictionary, with 27.91% of respondents providing the engine with single words. However, the most common unit provided is the single sentence.
• Post-editing: Users generally demonstrate awareness that MT output is not perfect; most respondents, including 53.41% of "other users," report fixing MT suggestions "very often".
Sociolinguistic Impact and Concerns
• Increased Visibility: Approximately 77% of respondents believe MT will increase the visibility of Basque by allowing more texts to be translated into the language.
• Original Production: Most respondents (68.59%) do not believe that the ease of MT will lead to a decrease in original writing in Basque.
• Language Quality and Stylistics: There is significant concern regarding the impact on the development of the Basque language. While half of the general respondents believe quality will not be affected, 67.35% of professional translators and interpreters fear that the quality of Basque texts will drop due to MT use.
• Professional Perspective: Translators in focus groups expressed specific worries that MT might lead to "vicious circles" where linguistic and stylistic resources remain undeveloped, or where the Basque administrative style is disrupted by patterns learned from previous training corpora.</t>
  </si>
  <si>
    <t>The study concludes that machine translation (MT) has become an inescapable reality within the Basque community, with the technology now being used by individuals of all backgrounds regardless of their language specialisation. The researchers highlight that this widespread adoption means MT will be a permanent fixture in the ongoing Basque language revitalization process.
Ultimately, while the technology is viewed with enthusiasm for its potential to boost language use, it is seen as a tool that must be integrated thoughtfully into professional and general workflows to prevent it from undermining the linguistic quality of the minoritized language.</t>
  </si>
  <si>
    <t>• Minoritised language: Refers to Basque, a low-resource language coexisting with hegemonic languages like Spanish and French, which faces unique challenges in the digital realm.
• Normalisation: The successful, decades-long process of establishing Basque as a standard language of instruction, media, and administration.
• Sustainable revitalisation process: The coordinated effort to develop the language's use while ensuring that new technologies like MT assist rather than jeopardise its long-term health.
• Level of adoption, practices, and perception: The three core pillars the researchers used to investigate how MT has integrated into the daily lives of the Basque community.
• Inefficient translation units: A term used to describe a common user habit—feeding the engine single words instead of full sentences—which prevents the technology from functioning at its best.
• Visibility of Basque: The potential for MT to increase the number of available Basque texts by making translation more accessible to non-experts.
• Original production in Basque: A central area of concern regarding whether users will stop writing directly in Basque and instead rely on translating drafts from major languages.
• Quality of the language: A point of contention where professionals and general users differ; half of the respondents fear that the widespread use of MT will lead to a drop in linguistic standards.
• Basque stylistics: The developing patterns of discourse (especially in administrative fields) that professionals worry may be restricted or "viciously" recycled by machine output.
• Literacy initiatives: The concluded need for educational programs that help citizens decide when MT is appropriate and how to fix common errors.
• Interaction between TM and MT: The desired technological synergy between Translation Memory and machine translation that professional translators wish to see improved.
• Sociolinguistic perspective: The broader research framework that the authors conclude is necessary to truly understand how technology impacts a language community’s habits and identity.</t>
  </si>
  <si>
    <t>Linguistic challenges; Other: Influence on translation flows</t>
  </si>
  <si>
    <t>Macken 2020</t>
  </si>
  <si>
    <t>Quantifying the Effect of Machine Translation in a High-Quality Human Translation Production Process</t>
  </si>
  <si>
    <t>64F8ERRS</t>
  </si>
  <si>
    <t>Lieve Macken
E-mail: Lieve.Macken@ugent.be</t>
  </si>
  <si>
    <t>Language and Translation Technology Team, Ghent University, Belgium</t>
  </si>
  <si>
    <t>To assess the actual impact of machine translation (MT) on the translation workflow at the Directorate-General for Translation (DGT) of the European Commission.</t>
  </si>
  <si>
    <t>6</t>
  </si>
  <si>
    <t>2018</t>
  </si>
  <si>
    <t>Other: DGT</t>
  </si>
  <si>
    <t>Highly professional translators - each with at least 10 years of experience</t>
  </si>
  <si>
    <t>1. Productivity and Speed Gains
The experiment quantified the "temporal effort" required for post-editing compared to translating from scratch:
• Average Gains: On average, translators were 14% faster using Neural MT for Finnish (NMT-FI) and 12% faster using Statistical MT for French (SMT-FR). These gains are notably lower than those reported in previous similar studies.
• The Individual Factor: Success was highly personal. In the Finnish department, all five analyzed translators saw speed gains (11%–21%). However, in the French department, two out of five translators were actually slower when using MT, with one suffering a 36% loss in productivity.
• The "Incompressible" Verification Time: Even when the MT produced a "perfect" suggestion that required no editing, translators still spent an average of 2.05 to 3.22 seconds per word. This represents the time required for a professional to read, verify, and approve the output, which the researchers call "incompressible" time.
2. Technical Effort and Correlation Paradox
The study measured "technical effort" using edit-distance metrics (HTER and CharacTER) to see if the amount of editing predicted the time spent:
• Amount of Editing: Translators performed more editing on the Finnish NMT output than on the French SMT output.
• Weak Correlations: Crucially, the study found only weak correlations between the number of edits and the total time spent post-editing. This suggests that technical effort (typing) is not a reliable proxy for temporal effort (the total work time), likely because cognitive effort (thinking and verifying) dominates the process.
3. User Perception and Psychological Impact
The survey following the experiment provided insight into why professionals choose to use or avoid the tool:
• Top Motivator: The reduction of typing effort was the most frequently cited reason for preferring MT.
• Psychological Base: Translators highlighted the reassurance of "not having to start from scratch," describing the MT output as a "foundation" or "base" that makes the work feel partly done.
• Deceptive Fluency: Finnish translators noted a specific risk with NMT: it produces fluent but inaccurate text that can "hide serious mistakes" which are only spotted upon deep inspection.
• Use Cases: MT was perceived as most useful for long, repetitive, or "boring" texts, but less effective for creative translations, highly technical annexes, or documents where numbers and proper names might trigger "slightly crazy" suggestions.</t>
  </si>
  <si>
    <t>1. Measurable but Modest Productivity Gains
The researchers concluded that MT provides measurable benefits in real-life translation scenarios, but these gains are significantly lower than those reported in earlier experimental or localisation-focused studies.
• While previous literature cited by the authors reported throughput improvements of up to 74%, the actual gains at the DGT were only 12% for Statistical MT (French) and 14% for Neural MT (Finnish).
• This suggests that in high-stakes institutional settings where texts are often legally binding, the "speed-up" effect of MT is restricted by the absolute necessity of human review.
2. The Superior Consistency of Neural MT
A primary conclusion is that Neural Machine Translation (NMT) provides more consistently useful output than the older phrase-based Statistical MT (SMT).
• All translators in the Finnish NMT group achieved speed gains. In contrast, the French SMT group saw significant individual variation, with some translators actually working up to 36% slower when attempting to use the machine suggestions.
3. The "Incompressible" Human Verification Time
One of the study's most important findings is the identification of a "residual amount of time" that is incompressible regardless of the quality of the machine.
• Even when provided with "perfect" machine output that required zero editing, translators still spent an average of 2.05 to 3.22 seconds per word just to read, verify, and approve the segment.
• This proves that human cognitive verification is a fixed time-cost that automation cannot eliminate in a professional high-quality workflow.
4. Individual Variation and Productivity
The study concludes that MT is not a "silver bullet" for productivity; it does not benefit every professional equally.
• There were large variations in individual processing speeds, indicating that a translator's personal style and experience significantly influence whether MT acts as an aid or an impediment.
5. Failure of Technical Metrics as Proxies
The researchers concluded that common industry metrics like HTER (edit distance) are not good indicators of temporal effort.
• The study found only weak correlations between the amount of technical editing (typing) and the total time spent (thinking/verifying). This confirms that "number of edits" is a poor proxy for the actual cognitive effort involved in post-editing.
6. Psychological Alignment and Perception
Finally, the study concludes that professional translators generally have a correct perception of their own speed gains.
• The survey results showed that most translators correctly identified if the tool made them faster.
• Beyond raw speed, the psychological benefit of having a "foundation" to build upon—avoiding the daunting nature of a "blank page"—is a major factor in the tool's acceptance.</t>
  </si>
  <si>
    <t>• Machine translation: The primary technology being evaluated throughout the study.
• Measurable benefits: Used to describe the average positive impact found when using MT in real-life translation scenarios.
• Neural vs. statistical machine translation systems: The two technological paradigms compared, with neural translation systems noted for providing more consistently useful output.
• Average speed gain: The specific metric (14% for Finnish and 12% for French) used to quantify productivity increases.
• Normal working conditions: Emphasises that the data was collected during actual daily professional activities rather than in a controlled lab.
• Reliable time measurements: Refers to the filtered data used for the analysis, which the authors acknowledge was difficult to extract from the software.
• Translation-related tasks: Identifies the broader professional workflow—including project management, file engineering, and reviewing—which the researchers note were neglected in this specific study.</t>
  </si>
  <si>
    <t>Paradowska 2025</t>
  </si>
  <si>
    <t>374DX8B6</t>
  </si>
  <si>
    <t>MT Use by professional translators in Poland – survey results</t>
  </si>
  <si>
    <t>Urszula Paradowska
E-mail: uparadowska@ajp.edu.pl</t>
  </si>
  <si>
    <t>Department of Foreign Languages, Faculty of Humanities, The Jacob of Paradies University in Gorzów Wielkopolski, Poland</t>
  </si>
  <si>
    <t>To investigate the adoption and perception of machine translation (MT) specifically among professional translators in the Polish market.</t>
  </si>
  <si>
    <t>1. Usage Statistics and Adoption Trends
• Total Usage: 72% of respondents reported using MT in some way, while 28% indicated they do not use it.
• Intensity of Use: Despite the high total usage, only 17% are regular, everyday users. The largest group (31%) uses the technology only "from time to time," and only 8% consider it indispensable.
• Persistent Non-Use: Among the 26% who are non-users, there is extreme resistance to future adoption; only 2% of non-users plan to implement MT in their future workflow.
2. User Behavior: MT as an "Advanced Dictionary"
A significant result of the study is that Polish professionals do not typically follow the industry-standard "post-editing" (PE) workflow.
• Method of Use: Instead of post-editing entire pre-translated files, most translators use MT as an information tool.
• Specific Tasks: The most popular uses were checking phrases and expressions (64%), checking sentences (47%), and checking individual words (41%).
• Standard PE: Only about one-third of translators perform standard post-editing of an entire text.
• Preferred Engines: DeepL is the most popular tool (64%), followed by Google Translate (44%).
3. Impact of Cohorts (Age, Skills, and Language)
The researchers found that personal characteristics and language pairs significantly influenced MT adoption:
• The Age Factor: Frequency of use does not gradually decline with age, but there is a sharp drop-off for translators over 50, who use MT significantly less and find it less useful. Surprisingly, the youngest group (&lt;30) was not notably more enthusiastic than mid-career professionals.
• Technical Literacy: There is a direct correlation between skills and adoption: the higher the technical skills, the lower the rate of non-use.
• Language Families: Translators of English and Romance languages found MT "very useful," whereas those working with Slavic and Germanic languages rated it as only "moderately useful".
• Specialization: Technical translators are the most frequent users (47% frequent use). Literary translators were the most divided, having both the highest rate of non-use (43%) and the second-highest rate of frequent use (43%).
4. Reasons for Resistance Among Non-Users
The 59 non-users in the study cited several technical and psychological barriers:
• Effort Paradox: 51% felt that correcting machine output requires more time and effort than translating from scratch.
• Emotional Response: 42% stated that the process of post-editing is "annoying" or "tedious".
• Security Concerns: 34% cited confidentiality risks and the sharing of document content with third-party services as a reason for non-use.
• Awareness Gap: 19% of non-users were unaware that MT could be used as a professional tool.
5. Quality Assessment and Error Frequency
Users were asked to rate how often specific errors appeared in MT output on a scale of 1 (rarely) to 5 (always):
• Most Common Errors: Stylistic issues (3.8), calques (3.7), and terminological inconsistency (3.6) were identified as the most frequent problems.
• Least Common Errors: MT was found to be highly reliable for spelling (1.7), punctuation (2.8), and basic grammar (3.0).
• Productivity: Despite the errors, 45% of users rated the technology as "very useful". The most commonly reported speedup was an acceleration of 50–69%.</t>
  </si>
  <si>
    <t>1. Universal Adoption with Low Intensity
The researchers conclude that although 72% of Polish translators use MT, they do not yet rely on it as an indispensable partner.
• Support Tool vs. Partner: Only 17% of respondents use MT regularly, and only 8% find it indispensable.
• Occasional Use: The majority treat MT as just one of many supportive tools at their disposal, using it only "from time to time".
2. The "MT as Dictionary" Workflow
A central conclusion is that professional practice in Poland deviates from the industry-standard post-editing (PE) model.
• Information Tools: Most translators do not perform standard PE on entire files; instead, they use MT engines as "information tools" to check specific phrases (64%), sentences (47%), or words (41%).
• Standard PE Rarity: Only about one-third of translators perform standard post-editing within a word processor or CAT tool.
3. Technical Literacy as the Primary Driver
The study concludes that technical competence, rather than age or specialization, is the most significant factor in technology adoption.
• The Barrier of Skill: There is a direct correlation where lower technical skills lead to higher rates of non-use.
• Training Needs: The authors emphasize a critical need to prioritize technical skill development in both professional and academic settings to overcome this barrier.
4. Specific Cohort Resistance
The researchers identified specific groups that stand out from the general trend of adoption:
• The Over-50 Cohort: Translators over 50 use MT significantly less frequently and perceive it as less useful than all other age groups.
• The Youth Paradox: Contrary to the "early adopter" theory, the youngest translators (&lt;30) were not more enthusiastic about MT than their mid-career colleagues.
• Non-User Finality: Among the 26% who are non-users, resistance is nearly total; only 2% plan to implement MT in the future, suggesting a permanent divide in the profession.
5. Language Resource Hierarchy
The study confirms that the utility of MT is tied to linguistic resources.
• High-Resource Success: Translators working with English and Romance languages found the tools "very useful".
• Low-Resource Struggle: Those working with Slavic (other than Polish) and Germanic languages rated the technology as only "moderately useful".
6. A Market "Not Yet in the Technocene"
The final conclusion is a critique of the Polish market's preparedness for future shifts in AI and translation.
• Lack of Awareness: The fact that 18% of non-users were unaware that MT could be a professional tool suggests a significant information gap.
• Missed Opportunities: The authors conclude that Polish translators are currently not prepared for the technological future and urge the profession to view MT challenges as an opportunity for growth rather than a threat.</t>
  </si>
  <si>
    <t>• Intensity of MT use: A term used to distinguish between the high overall number of users (72%) and the much lower percentage of those who use it daily.
• Restraint: The defining characteristic of how Polish translators are embracing MT, choosing to use it selectively rather than relying on it as an everyday partner.
• Information tools: The authors' classification for how MT is primarily used in Poland—as a fragmented reference for checking words, phrases, or sentences rather than for holistic post-editing (PE).
• Dictionary-like use: A specific phrase (referencing Farrell, 2023) describing the behavior of nearly 78% of translators who treat MT engines as more advanced versions of traditional dictionaries.
• Technocene: A term used to describe the current era where technology transforms all human life; the authors conclude that Polish translators do not yet fully "live in the technocene" because they have not yet fully embraced recent technological advancements.
• Technical competence / Technical skills: Identified as the single most significant factor in adoption; the authors conclude that low competence acts as a barrier to using MT.
• Low-resource languages: A term used to explain why MT is perceived as less useful for translators of Slavic and Germanic languages compared to English.
• MT enthusiasts: A category created by the authors to group "regular" and "frequent" users, who represent only 34% of the market.
• Opportunity vs. Threat: The two competing frames for the future of the profession; the authors conclude that better professional preparation is needed so that MT can be viewed as an opportunity rather than a threat.</t>
  </si>
  <si>
    <t>Technical aspects; Training needs; Ethical aspects</t>
  </si>
  <si>
    <t>Ginel 2025</t>
  </si>
  <si>
    <t>2R88AXYN</t>
  </si>
  <si>
    <t>Translators’ trust and distrust in the times of GenAI</t>
  </si>
  <si>
    <t>María Isabel Rivas Ginel
E-mail: isabel.rivasginel@dcu.ie
ORCID: 0000-0001-9509-684X</t>
  </si>
  <si>
    <t>School of Applied Language and Intercultural Studies/ADAPT Centre, Dublin City University, Dublin, Ireland</t>
  </si>
  <si>
    <t xml:space="preserve">To analyse translators’ interactions with ChatGPT and assess the factors influencing their trust or scepticism in its professional application. </t>
  </si>
  <si>
    <t>2023/03/12</t>
  </si>
  <si>
    <t>2023/04/02</t>
  </si>
  <si>
    <t>Translation professionals</t>
  </si>
  <si>
    <t>Trust and Perceived Accuracy
• Low Core Trust: Generally, translators exhibit little to very little trust in GenAI for core professional tasks. Trust is lowest regarding data privacy, the presence of bias, and translation accuracy.
• Task-Specific Accuracy: Respondents find tools like ChatGPT poor for actual translation (with 63 participants rating it as "not" or "slightly" accurate) and proofreading.
• Productive Use Cases: Conversely, the technology is perceived as more accurate for research-oriented or administrative tasks, such as looking up synonyms, summarising content, and changing the register of emails.
Adoption Rates and Common Uses
• Polarised Adoption: Adoption remains limited and polarised; while 13% use GenAI regularly and 28% use it occasionally, 41% of respondents avoid it altogether.
• Preferred Functions: Among those who do use the tools, the most frequent applications are for inspiration (53%), summarising or drafting emails (45%), and rephrasing text (45%). Core translation (23%) and proofreading (14%) are significantly less common uses.
Market and Professional Concerns
The sources indicate that translators view GenAI more as a systemic threat than a mere technical tool, with the top five concerns being:
• Economic Impact: A reduction in translation rates (192 respondents) and the use of technology specifically to cut labour costs (189 respondents).
• Work Quality: The potential for technology to constrain work and reduce creativity (170 respondents).
• Market Viability: General anxiety regarding the future of the translation market (168 respondents).
• Liability: Reputational and legal risks stemming from AI-generated mistakes (156 respondents).
Trust Trajectories and Data Privacy
• Stability of Trust: Contrary to some models of virtual AI that predict a rapid decline in trust after initial use, the survey found that trust for 43% of participants remained the same over time, while 34% reported that it had actually improved.
• The Privacy Barrier: Data privacy emerged as the second most important source of distrust. Translators expressed deep unease regarding mass data extraction and the need to protect their professional translations from being repurposed to train AI models.</t>
  </si>
  <si>
    <t>Selective and Contingent Trust
The researchers conclude that trust in tools like ChatGPT is not uniform; it is granted only for specific, lower-stakes activities such as terminology suggestions, summarising content, or rephrasing text. Translators, acting as domain experts, are more critical of the technology's limitations and generally distrust its capabilities for professional-grade translation due to perceived inaccuracies and lack of naturalness.
Dominant Barriers: Privacy and Ethics
A primary conclusion is that data privacy is the most significant source of distrust. There is widespread professional unease regarding "mass data extraction"—the fear that confidential client data and skilled human translations are being repurposed without consent to train AI models. Additionally, translators maintain low trust in the system's fairness and freedom from bias, which is exacerbated by the "black box" nature of these models.
Automation Anxiety and Market Precarity
The study concludes that trust is heavily dampened by "automation anxiety" and a general sense of job insecurity. Translators view the technology not just as a tool, but as a potential threat to their professional autonomy and economic stability. This distrust is further fuelled by scepticism regarding the intentions of the companies and language service providers promoting AI, whom translators suspect are using technology primarily to reduce remuneration and labour costs.
Stable Trust Trajectories
Contrary to previous models of "virtual AI" that predict a rapid decline in trust after an initial "honeymoon" period, this study concludes that translators' trust is more stable or even incrementally improving.
• Experience-Driven: For many, trust has sustained or bolstered through continued, direct use.
• Low Initial Expectations: The researchers suggest this stability may be because translators—having experienced the "hype cycles" of earlier technologies like neural machine translation—began with initially low expectations, meaning they were less likely to be disillusioned by errors.
The AI Literacy Gap
The sources conclude that AI literacy currently plays a limited role in shaping these trust trajectories. Because 83% of respondents reported seeking no formal training in large language models, most translators are building their trust based on personal experience and trial-and-error rather than a deep technical understanding of how the systems function.
In summary, the researchers conclude that until issues of data transparency, accuracy, and fair working conditions are addressed by AI developers, professional translators will likely maintain a position of cautious and conditional engagement with generative AI.</t>
  </si>
  <si>
    <t>• Highly contingent: Describes the nature of professional trust, which is not absolute but depends strictly on specific factors and use cases.
• Perceived usefulness: A concept from the TAM2 model identified as a driver for adoption, though currently limited to support tasks like terminology suggestions rather than core translation.
• High-stakes translation work: The specific category of tasks where translators continue to largely distrust the capabilities of AI.
• Mass data extraction: A specific transparency challenge and a dominant source of distrust regarding how models are trained.
• Automation anxiety: The psychological backdrop of job insecurity that prevents trust from developing, even as technology advances.
• Threat to autonomy or working conditions: The perceived risk that determines whether a translator will adopt or reject a tool, regardless of its technical proficiency.
• Trust trajectories: The patterns of how trust develops over time; the authors conclude these are incremental and conditional based on direct experience.
• Initial wave of enthusiasm followed by disillusionment: A specific trajectory observed in the corpus data that aligns with general patterns of human trust in automation.
• Representation bias: A research factor that the authors conclude may explain why corpus data showed declining trust while survey responses showed trust remained stable or improved.
• Recalibrate their trust: The process of adjusting expectations through technical understanding, which the authors conclude most translators cannot currently do due to a lack of formal AI literacy.
• Technical understanding: Contrasted with resources that merely "reassure" users, this is identified as the missing element required to shape a more mature professional trust.</t>
  </si>
  <si>
    <t>Martikainen 2025</t>
  </si>
  <si>
    <t>Evaluation of Generative Artificial Intelligence Implementation Impacts in Social and Health Care Language Translation: Mixed Methods Case Study</t>
  </si>
  <si>
    <t>AB262FCP</t>
  </si>
  <si>
    <t>Miia Martikainen
Phone: 358 449014240
E-mail: miia.martikainen@student.lut.fi</t>
  </si>
  <si>
    <t>Department of Software Engineering, School of Engineering, Lappeenranta-Lahti University of Technology, Lappeenranta, Finland</t>
  </si>
  <si>
    <t>Finland</t>
  </si>
  <si>
    <t>This study investigates productivity, machine translation quality, and user experience impacts of the GPT-4 language model in an in-house language translation services team of a large well-being services county in Finland.</t>
  </si>
  <si>
    <t>2024/06</t>
  </si>
  <si>
    <t>Other:  In-house language translation services team</t>
  </si>
  <si>
    <t>In-house language translation services team of a large well-being services county in Finland.</t>
  </si>
  <si>
    <t>1. Productivity Gains and Individual Variability
• Overall Efficiency: On average, post-editing GPT-4 output was 14% faster than translating from scratch (2.75 vs. 2.40 characters per second).
• The "Workload" Effect: When the number of segments was equalized across translators in a supplementary analysis, the productivity gain increased to 37%.
• Stark Disparities: Productivity improvements varied significantly between the four translators, ranging from a minor decrease (-2%) to a massive 102% increase in speed.
2. Machine Translation Quality Metrics
• Acceptance Rate: Only a small fraction of the GAI output was high enough to be accepted without any human edits: 11% for Finnish-Swedish and 16% for Finnish-English.
• Automatic Scores:
    ◦ BLEU Scores: Averaged 43 (Swedish) and 38 (English), indicating high to good translation quality.
    ◦ HTER Scores: Averaged 55 (Swedish) and 46 (English), suggesting that humans still needed to edit approximately half of the words in each segment.
• Linguistic Strengths: The GAI was particularly effective at improving the clarity of vaguely written source texts and handling long, repetitive, or generic documents.
3. User Experience and Professional Challenges
• General Sentiment: Most translators (3 out of 4) expressed a positive attitude and a desire to continue using the GAI tool, particularly for routine tasks.
• Identified Weaknesses: The primary challenges included inconsistent or incorrect terminology, issues with gender and concord, and a lack of document-level context because the software plugin only operated at the segment level.
• Cognitive Impact: One translator felt the tool actually slowed them down due to the need to fix quality deficiencies and navigate workflow inefficiencies.
4. Organisational and Human Factors
• Role Shift: The study concludes that GAI is redefining the translator’s role from a "creator" to a "reviewer" or "refiner" of text.
• Change Management: Negative early experiences were often tied to high workloads and a lack of adequate preparation, highlighting that successful adoption requires upskilling, technical support, and hands-on experience.</t>
  </si>
  <si>
    <t>1. Measurable Productivity Gains
The study concludes that GAI-based machine translation provides a clear speed advantage over traditional methods.
• Speed Increase: On average, post-editing GAI output was 14% faster than translating from scratch.
• Workload Influence: When workloads were theoretically equalised across translators, the potential productivity gain rose to 37%.
• Individual Variability: A key conclusion is that productivity is not uniform; individual results ranged from a 2% decrease to a 102% increase, highlighting that personal skill and technical ability are decisive factors.
2. Redefining the Translator’s Role
The researchers conclude that GAI is fundamentally transforming the nature of professional translation work.
• From Creator to Refiner: The role is shifting from "producing and crafting text" to "reviewing and refining output".
• Augmentation over Automation: The goal of GAI in sensitive sectors like healthcare should be to augment and support human professionals rather than replace them, due to the critical and complex nature of the work.
3. The "Human-Centred" Adoption Gap
A primary conclusion of the study is that the full potential of GAI remains partially unrealised because technological performance currently outpaces organisational capability.
• Importance of Upskilling: Effectiveness is largely influenced by the post-editing skills of the translators.
• Change Management: Successful adoption requires significant investment in translator training, technical support, and effective change management to address negative early experiences and high workloads.
4. Technical and Contextual Limitations
Despite the benefits, the study concludes that current GAI integrations have significant functional gaps:
• Contextual Awareness: A major barrier is that current tools often operate at the segment level, failing to incorporate the document-level context that is a core strength of Large Language Models.
• Terminology and Quality: GAI still struggles with industry-specific terminology and grammatical issues like gender and concord, meaning human oversight remains essential for quality control.</t>
  </si>
  <si>
    <t>• Productivity potential: Refers to the measurable speed gains (averaging 14%) observed when using GAI for translation tasks.
• Public social and health care sector: Defines the specific, high-stakes institutional context of the study.
• Postediting GAI outputs: Describes the primary human task of reviewing and refining machine-generated text.
• Perceived benefit vs. observed efficiency: Highlights the gap between the actual time saved and the translators' more reserved personal assessments of the tool's impact.
• Technological performance vs. organisational capability: A core conceptual distinction used to argue that simply having the AI is not enough; the organisation must also have the "capability" to use it effectively.
• Upskilling: Refers to the necessary investment in training translators specifically for postediting and GAI interaction.
• Operational workflows: A term used to describe the need to redesign how translation work is organised to effectively integrate GAI.
• Prompt formulation: Identifies a specific new skill required for translators to effectively guide GAI engines.
• Ethical considerations: Broadly refers to addressing translator concerns regarding job security and the risks associated with AI adoption.
• Human oversight: Stressed as a non-negotiable requirement for maintaining quality control, particularly in sensitive domains like healthcare.
• Change management: The strategic process required to help staff adapt to new technologies and address negative early experiences.</t>
  </si>
  <si>
    <t>Jimenez-Crespo 2025</t>
  </si>
  <si>
    <t>UZADWMJQ</t>
  </si>
  <si>
    <t>Human-Centered AI and the Future of Translation Technologies:
What Professionals Think About Control and Autonomy in the AI Era</t>
  </si>
  <si>
    <t>Miguel A. Jiménez-Crespo
E-mail: jimenez.miguel@rutgers.edu</t>
  </si>
  <si>
    <t xml:space="preserve">Department of Spanish and Portuguese, Rutgers University, New Brunswick, NJ 08901, USA; </t>
  </si>
  <si>
    <t>Building on the theoretical background of HCAI, this paper addresses three main research questions:
RQ1: What are the attitudes towards the human–AI interface in the context of translation technology use, both in the present and the future?
RQ2: What do “autonomy” and “control” mean for professional translators using translation technologies in the age of AI?
RQ3: What types of future implementations or features of translation technologies will enhance the self perceived sense of “control” and “autonomy” in professional translators in their interactions with these tools?</t>
  </si>
  <si>
    <t>2024/05/10</t>
  </si>
  <si>
    <t>2024/06/16</t>
  </si>
  <si>
    <t>Full-time translators based in the United States with at least 2 years of experience</t>
  </si>
  <si>
    <t>1. Current Perceptions of Control and Autonomy
• Distinct Conceptualisations: Professionals view control and autonomy as different concepts. Control is primarily associated with the technical use of tools, such as usability, the ability to turn features on/off, and configuration. Autonomy is linked more closely to professional working conditions, such as the ability to select or reject work and the level of imposition from Language Service Providers (LSPs).
• High Current Agency: Participants reported generally high levels of perceived control (mean of 76.08/100) and autonomy (73.13/100) over their current workflows. This is especially true regarding the ability to "turn on and off" technologies depending on the specific task or document type.
• The Responsibility Link: A central result is that translators believe they must maintain control because they are legally and professionally responsible for the final outcome of the translation.
2. Future Outlook and the "AI Era"
• Significant Decline in Perceived Control: Looking toward the future, participants reported much lower levels of expected control over AI-driven technologies (mean of 47.17/100).
• The Threat of Other Humans: Interestingly, fears of losing agency are attributed primarily to other human actors—such as developers, Big Tech, and LSPs—rather than the AI technology itself. Professionals feel these agents are the ones setting up automated workflows that may be "imposed" or "restrictive".
• Loss of the "Transfer" Stage: A key finding is the perceived loss of the ability to translate from scratch. Translators fear that AI will force them to work exclusively with pre-populated segments, effectively turning the "act of translating" into a permanent role as a proofreader or post-editor.
• Creativity Concerns: Many respondents reported that AI integration poses a threat to the creative potential of translation, as pre-processed suggestions may "block" their own original phrasing or cognitive processes.
3. Professional Challenges and Communication
• The Communication Gap: The most frequent future challenge identified was communicating with stakeholders (clients and LSPs) to explain the value of the "human factor". Professionals struggle with clients' "overblown confidence" in AI and the expectation of "miracles" in terms of cost and speed.
• Economic Pressure: The results confirm ongoing concerns regarding downward pressure on rates and increased competition from those who accept lower-paying automation-heavy assignments.
4. Recommendations for Human-Centered Design
• Involvement in Development: Translators strongly advocate for collaboration with developers from the initial design stages, rather than simply being used to proofread AI output to perfect the engines.
• Desired Features: To feel "augmented" rather than replaced, translators recommend the development of adaptive and interactive technologies. Key features requested include the ability to fully configure tools, flexible "on/off" switches for AI interventions, and better integration with existing resources like terminology databases.</t>
  </si>
  <si>
    <t>Distinct Conceptualisations of Agency
A central conclusion is that professionals do not view "control" and "autonomy" as synonymous. Control is primarily conceptualised through technical usability, such as the ability to configure tools or turn specific features on and off. In contrast, autonomy is viewed through the lens of professional working conditions, specifically the freedom to select or reject work and the level of imposition from third parties like Language Service Providers (LSPs).
The Nature of the Threat: Human vs. Machine
A significant and perhaps surprising conclusion is that translators do not view AI technology itself as the primary threat to their agency. Instead, the "real threat" is attributed to other human actants—such as developers, Big Tech companies, and LSPs—who set up and impose automated workflows. The author concludes that issues of control in the AI age are primarily "a human-centred problem that requires human solutions".
The "Death" of the Transfer Stage
The study identifies a profound fear regarding the shift from translation to post-editing. The researcher concludes that professionals perceive a potential loss of the "transfer" stage—the cognitive act of converting one language to another from scratch. There is a widespread concern that humans are being relegated to the role of "proofreaders" or post-editors of AI output, which many participants feel "blocks" their creative potential and original phrasing.
The Responsibility-Control Link
The author concludes that translators' desire for control is rooted in professional ethics and legal liability. Because the human translator remains the "final gatekeeper" who is legally responsible for the quality and cultural sensitivity of the final product, they believe they must retain the "last word" over all technological interventions.
Gaps in Communication and Collaboration
The research highlights a significant "communication gap" within the translation ecosystem.
• Stakeholder Education: There is a critical need to educate clients and LSPs, who often have "overblown confidence" in AI's capabilities and expect unrealistic cost and speed savings.
• Developer Involvement: The study concludes that for AI to be truly "human-centred," developers must involve translators in the initial stages of design rather than merely using them at the end of the process to perfect AI output.
Recommendations for Future Environments
The study concludes that the ideal future environment for translation is one where tools are flexible, adaptive, and customizable. For translators to feel "augmented" rather than replaced, technology must allow them to activate or deactivate AI features at will and integrate seamlessly with existing resources like terminology databases. Ultimately, professional satisfaction in the AI era will depend on whether translators can maintain their locus of control while leveraging automated aids.</t>
  </si>
  <si>
    <t>• Control and Autonomy: The two central pillars of the study; the author concludes that professionals conceptualise these differently, with control relating to tool functionality and autonomy relating to professional decision-making.
• Human-Centered AI (HCAI): The overarching research paradigm that aims to put humans at the heart of technology development to ensure systems are reliable, safe, and trustworthy.
• Human actants: A term used to describe the real source of perceived threats to the profession; the author concludes that fellow translators, developers, and Big Tech—rather than the AI itself—are the primary agents of concern.
• Communication gap: The perceived disconnect within the translation ecosystem where translators feel their professional perspectives are not heard by developers or translation managers.
• Flexible, adaptive, usable, and customizable tools: The specific technical requirements concluded to be necessary for creating a positive future AI-driven translation environment.
• Second Copernican revolution: A metaphor used to describe the shift in perspective required to place humans at the heart of AI development.
• Human-centered problem that requires human solutions: The final concluding sentiment, suggesting that issues of agency in the age of AI are fundamentally social and professional rather than purely technological.
• Decent work conditions: A broader concern for the profession concluded to be a necessary barrier against the fragmentation of work caused by modern technologies.
• Locus of control: A psychological concept referring to whether a professional believes they (internal) or external forces (external) control the outcome of their work.
• Post-editing (PE) or AI support: The specific tasks that the author concludes translators must have the power to decide when and how to use to maintain their professional satisfaction.
• Fragmentation of work: A negative outcome of modern technology that the author concludes must be addressed through better communication and collaboration.</t>
  </si>
  <si>
    <t>Tavares 2023</t>
  </si>
  <si>
    <t>Artificial Intelligence: A Blessing or a Threat for Language Service Providers in Portugal</t>
  </si>
  <si>
    <t>CRNMP4V3</t>
  </si>
  <si>
    <t xml:space="preserve">Célia Tavares
E-mail: eliat@iscap.ipp.pt </t>
  </si>
  <si>
    <t>CEOS.PP ISCAP Polytechnic of Porto, Portugal</t>
  </si>
  <si>
    <t>Portugal</t>
  </si>
  <si>
    <t>To investigate the perceptions, awareness, and impact of Artificial Intelligence (AI) on Language Service Providers (LSPs) specifically within the context of Portugal.</t>
  </si>
  <si>
    <t>2023/05</t>
  </si>
  <si>
    <t>Social media; Professional associations networks; Other: direct emails to institutional databases of translators</t>
  </si>
  <si>
    <t>This work is financed by Portuguese national funds through FCT—Fundação para a Ciência e Tecnologia, under project UIDB/05422/2020.</t>
  </si>
  <si>
    <t>1. Awareness vs. Technical Knowledge
• High Familiarity: Approximately 67% of respondents reported being moderate to very familiar with the use of AI in language services. Only 10% claimed to have no familiarity at all.
• Knowledge Gap: Despite this familiarity, 73.2% of professionals were unable to identify whether the tools they use most frequently are supported by AI, automation, or both.
• Poor Quiz Performance: In a test where participants had to classify nine common tools (e.g., Trados, DeepL, ChatGPT), the global average score was very low, at just 1.97 out of a possible 9 points. Over half of the sample (54.9%) received a grade of "Very Poor".
2. Actual Use and Perceived Usefulness
• Frequency of Use: Professionals use AI technologies "sometimes," which the study defines as roughly 25% to 50% of their working time.
• NMT vs. LLMs: Neural Machine Translation (NMT) is used nearly twice as frequently as Large Language Models (LLMs), likely because LLMs like ChatGPT are more recent market arrivals.
• Gender and Age Trends: Men were found to use language models more frequently than women. Additionally, the perceived usefulness of AI was higher among younger professionals (under 26) and those in the 46–50 age bracket.
• Motivations for Use: The primary reason for using AI is speed (91%) and efficiency (46.3%). NMT is specifically valued as a "starting point" for translation (35.4%), allowing practitioners to focus their efforts on post-editing.
3. Influence on Job Tasks
Participants believe the impact of AI varies significantly depending on the specific task:
• Positive Impact: The tasks seen to benefit most from AI are transcription, translation of general topics, and terminology management.
• Negative/Limited Impact: Tasks considered less suitable for AI include interpretation and subtitling. This is attributed to the complexity of human variables such as tone and pronunciation in interpreting, and the strict technical rules required for subtitling.
4. Impact on the Labour Market and Future Careers
• Pessimistic Outlook: In contrast to the Bulgarian study mentioned in our conversation history, 46% of Portuguese respondents foresee a negative or very negative impact on the market, while only 38% expect a positive outcome.
• Major Concerns: The most critical concerns voiced by experts include the devaluation of human expertise (31.82%), a reduction in income (20.45%), and the fear that AI will eventually replace human experts (20.45%).
• Reconfiguration to Post-Editing: Many professionals fear that their careers are being reconfigured from "translators" to "mere text editors" or post-editors, which they associate with lower quality standards and depreciated fees.
• Language-Specific Challenges: A unique finding for the Portuguese context is that professionals view the European Portuguese language as a "delayer" for AI adoption. They perceive AI as being more fluent in Brazilian Portuguese and less capable of handling the nuances and cultural references of European Portuguese.
Ultimately, the study found that professionals who are less familiar with AI and have lower technical knowledge are significantly more likely to lack trust in the technology and predict negative future outcomes for the profession.</t>
  </si>
  <si>
    <t>1. Significant Knowledge and Trust Gap
A primary conclusion is the existence of a substantial disconnect between "awareness" and "technical knowledge". While 67% of professionals feel familiar with AI, nearly three-quarters cannot identify whether their daily tools use AI or simple automation. The study concludes that this lack of technical knowledge directly correlates with a lack of trust in the technology.
2. Devaluation of Professional Status
Unlike the Bulgarian study (Kirov and Malamin, 2022) mentioned in our conversation history—which viewed the shift toward post-editing as a positive evolution—Tavares et al. conclude that Portuguese professionals view this reconfiguration as a depreciation of their craft. Key concluding concerns include:
• The "Post-Editor" Trap: Professionals fear being relegated to "mere reviewers" of machine output, which they associate with lower quality standards and reduced fees.
• Economic Impact: The study concludes that increased speed and automation are likely to lead to a severe reduction in prices and a devaluation of human expertise.
3. Role Specialisation vs. Automation
The researchers conclude that the market is bifurcating based on task complexity:
• Routine Tasks: AI and automation will likely absorb repetitive tasks such as transcription and general-topic translation.
• Human Domains: Human intervention remains essential for "safety-critical" or high-context tasks such as interpretation, subtitling, and creative or cultural translation, which require nuanced judgment.
4. Technological and Cultural "Delayers"
A unique conclusion for the Portuguese context is that European Portuguese acts as a barrier to rapid AI adoption. Professionals perceive that AI systems are significantly more fluent in Brazilian Portuguese, meaning the complexities of the European variant currently safeguard human translators from immediate total replacement.
5. Necessity for Proactive Adaptation
To remain competitive, the study concludes that language service providers must move beyond "negationist" views and adopt several mitigation strategies:
• Continuous Training: Investing in "upskilling" to incorporate AI as a competitive tool rather than a replacement.
• Market Education: Raising client awareness regarding the potential for "readable but incorrect" AI output to ensure the continued demand for human quality assurance.
• Call for Regulation: The lack of formal regulation is identified as a major vulnerability that allows the market to prioritise "quantity over quality".
Key Terms Used in the Conclusion
Based on the final sections of the source, the following key terms are central to the study's closing arguments:
• Devaluation of experts: The perceived loss of professional status and value.
• Reconfiguration of the career: The shift from "translator" to "mere reviewer" or "post-editor".
• Post-editing (PE): The primary task professional translators expect to perform in an AI-dominated market.
• European Portuguese (pt_PT): Cited as a technological delayer due to the lack of adequate corpora compared to other variants.
• Market dynamics: The changing relationship between price, speed, and quality.
• Continuous training: The suggested path for professionals to remain relevant and competitive.</t>
  </si>
  <si>
    <t>Technological Frameworks
• AI (Artificial Intelligence): The overarching technology studied for its "critical effects" on the provision of language services.
• NMT (Neural Machine Translation) and LLM (Large Language Models): The two primary AI categories compared; the study concludes NMT is currently used twice as frequently as LLMs.
• Awareness vs. Technical Knowledge: Terms used to describe the "disconnect" where professionals are familiar with AI but cannot identify it in their tools.
Professional Roles and Reconfiguration
• Devaluation of experts: The primary concern at the "top" of the list for Portuguese professionals regarding their career status.
• Mere reviewers (or post-editors): A critical term used to describe the feared "reconfiguration" of the career, where translators shift from creators to editors of machine output.
• Routine or repetitive tasks: The domain the authors conclude will be absorbed by AI tools.
• Complex or specialised tasks: The areas where human roles are expected to evolve and maintain relevance.
• Human judgment and context: Core human attributes identified as essential for creative writing, cultural translation, and interpretation.
Market and Economic Dynamics
• Reduction in prices: A major predicted outcome resulting from the increased speed of translation and the automation of work.
• Lowering of quality standards: A market trend where clients may prioritise "quantity over quality" or accept "readable but incorrect" machine output.
• Lack of formal regulation: Identified as a key vulnerability that contributes to the devaluation of the profession in Portugal.
• Language market dynamics: The broad term used to describe the shifting relationship between human value, technological speed, and cost.
Strategic Response Terms
• Continuous training (and upskilling): Recommended as a mitigation strategy for professionals to adapt to "other realities" and keep up with technological trends.
• Responsible and ethical deployment: The authors' final concluding call for AI development to be approached in a way that minimises risks to the workforce.</t>
  </si>
  <si>
    <t>ÁlvarezVidal 2020</t>
  </si>
  <si>
    <t>W85HQMIQ</t>
  </si>
  <si>
    <t>Post-editing for Professional Translators: Cheer or Fear?</t>
  </si>
  <si>
    <t>Sergi Alvarez Vidal
E-mail: salvarezvid@uoc.edu
ORCID: 0000-0003-4361-1250</t>
  </si>
  <si>
    <t>Universitat Pompeu Fabra</t>
  </si>
  <si>
    <t>The current study has two objectives: firstly, to assess the attitude of translators who are post-editing MT output for the first time before and after the task and to relate it to productivity rates in an industrial scenario. Secondly, to compare the results with the perceptions of current professional post-editors.</t>
  </si>
  <si>
    <t>Four experienced translators without previous post-editing experience who usually collaborated with the LSP + 50 experienced post-editors.</t>
  </si>
  <si>
    <t>Translators who post-edited for the first time showed prejudices and a general negative attitude before post-editing due to the characteristics of the task but also because of other external elements such as rates and the future of the translation profession. However, once they had finished post-editing, their opinions were not so negative and most of them would be willing to post-edit in a regular basis even though they all enjoyed more translating. The main challenges of post-editing were related to the constraints it imposes, mainly to creativity. Another important problem was the unpredictable errors in the MT output, which were sometimes difficult to spot. Regarding productivity, post-editing reduced in half the time spent by word.
Experienced post-editors also considered this task to be more repetitive, more tiring and less paid than translating from scratch. However, they highlighted post-editing productivity increases with experience and proper training. Moreover, post-editing reduces typing, which usually helps to increase productivity. In general, translators are less satisfied with post-editing than with translation from scratch.</t>
  </si>
  <si>
    <t>Training and experience are key elements to post-editing with more confidence. There is a need for a more fluent communication throughout the translation workflow, mainly related to information regarding the origin of the MT output. The focus of the translation workflow should be the human translator and MT should be used as a way to improve a human-centered process. As post-editors believe it is a more tiring task, one possibility would be to limit the time spent post-editing and always combine it with translation from scratch as part of the industrial workflow. Post-editing is a task that offers a new specialization for current translators. However, current market practices have to be improved and tuned in order to make it more attractive and enjoyable for professional translators.</t>
  </si>
  <si>
    <t>• General negative attitude: Used to describe the initial prejudices and feelings of translators before they engage with post-editing for the first time.
• Constraints to creativity: A primary challenge identified by translators, referring to how post-editing can limit the creative reformulation of sentences.
• Unpredictable errors: Refers to mistakes in the machine translation (MT) output that are often difficult to spot compared to human-authored text.
• Productivity increase: A measurable result where post-editing significantly reduces the time spent per word compared to translation from scratch.
• Repetitive and tiring: Key terms used to describe the nature of the task, with respondents finding it more exhausting and less enjoyable than traditional translation.
• Training and experience: Identified as the essential "key elements" required for translators to perform post-editing with greater confidence and efficiency.
• Fluent communication: The concluded need for better dialogue within the translation workflow, particularly regarding information about the origin and nature of the MT output.
• Human-centered process: A recommended approach where machine translation is used specifically to support and improve a process focused on the human translator.
• New specialization: The conclusion that post-editing represents a distinct professional path and technical skill set for current translators.
• Market practices: Refers to external factors, such as rates and compensation models, that the authors conclude must be "improved and tuned" to make the profession sustainable.
• Attractive and enjoyable: Terms used to describe the ideal future state of the profession if current market practices and technological tools are refined.</t>
  </si>
  <si>
    <t>Training needs; Working conditions; Ethical aspects; Other: Productivity</t>
  </si>
  <si>
    <t>Mager 2023</t>
  </si>
  <si>
    <t>RIDHS9XP</t>
  </si>
  <si>
    <t>Ethical Considerations for Machine Translation of Indigenous Languages: Giving a Voice to the Speakers</t>
  </si>
  <si>
    <t>Manuel Mager</t>
  </si>
  <si>
    <t xml:space="preserve">AWS AI Labs </t>
  </si>
  <si>
    <t>To investigate the ethical considerations and establish best practices for the machine translation (MT) of Indigenous and endangered languages.</t>
  </si>
  <si>
    <t>This project has benefited from financial support to Manuel Mager by a DAAD Doctoral Research Grant.</t>
  </si>
  <si>
    <t>Language activists, language teachers and community leaders belonging to 12 specific Indigenous communities across the Americas</t>
  </si>
  <si>
    <t>1. General Positive Outlook on MT
• Widespread Approval: Surprisingly, a strong majority of participants view MT for their languages positively and believe such systems would be beneficial.
• Key Benefits: Respondents identified the primary advantages as aiding language revitalization and education, providing support tools for teachers, and elevating the social status and visibility of Indigenous languages.
• Preferred Use Cases: The most favorably viewed topics for MT applications were everyday talk (15 favorable opinions), science and education (14), culture and traditions (14), and medicine and health (14).
2. Ethical Concerns and "Dangerous" Topics
• Spiritual and Ceremonial Risks: While many could not identify dangerous topics, religion was the most frequently cited concern. Participants feared that MT could reveal ancient ceremonial secrets or be used to further the influence of Western religions.
• Standardization vs. Diversity: A significant fear is that "experts" might use MT to standardize languages, which would lead to a "tremendous mistake" and the loss of rich dialectal diversity within Indigenous communities.
• Commercial Exploitation: There is widespread concern regarding the commercialization of Indigenous language data by external academic or corporate entities.
3. The "Inclusion is Vital" Mandate
• Community Integration: The most important finding is that close collaboration with native speakers is essential for ethical research.
• Participation Levels: 85% of participants believe it is preferable to integrate community members directly into the research team to ensure vocabulary is not "imposed" and that systems are culturally adequate.
• Permission Protocols: Although 77.3% of respondents reported no existing restrictions on sharing their language, the authors conclude that researchers cannot assume consent by default and must navigate traditional internal governance.
4. Data Sovereignty and Ownership
• Diverse Views on Ownership: Opinions on who should own the translation data were split:
    ◦ 29.4% believed it should be owned by a community or town organ.
    ◦ 20.6% felt it should belong to the individual speakers.
    ◦ 32.4% argued it should be publicly available without restrictions.
    ◦ Only 17% believed the external research group should own the data.
• The "Academic Mistrust" Factor: Some participants expressed wariness of academic institutions, citing past experiences where linguists took recordings that the community can no longer access.
5. Quality and the "Experimental" Dilemma
• The Risks of Poor Quality: There is a significant fear that poor-quality MT could "distort the proper use of the language" and cause learners to "learn in the wrong way".
• Visibility vs. Accuracy: Participants were nearly split on whether experimental, poor-quality systems should be public: 54.5% felt it was good to see progress and help correct it, while 45.5% believed such systems should not be available to the public if they lack cultural objectivity.</t>
  </si>
  <si>
    <t>1. Vital Necessity of Community Inclusion
The most central conclusion is that inclusion of native speakers and community members is vital at every stage of the research process to ensure ethical adequacy. The researchers emphasize that:
• Consultation is a Right: Following international conventions, Indigenous people have the right to be consulted on projects involving their language and culture.
• Beyond Consent: Researchers cannot assume by default that communities are willing to share their language data; permission must be sought through traditional internal governance.
• Feedback Loops: Active quality checks and feedback from the community are essential to prevent MT from "distorting" the proper use of the language.
2. Data and Technological Sovereignty
The study concludes that Indigenous communities have a right to self-determination over the data, knowledge, and cultural expressions they create.
• Direct Participation: There is a strong desire within communities to participate directly in the development of MT systems rather than being passive subjects of study.
• Training and Capacity Building: The authors conclude that the NLP community should prioritize training Indigenous researchers and engineers, as this is essential for achieving true technological sovereignty.
• Ownership Rights: Data ownership is a complex area where legal copyright often conflicts with traditional views; the study recommends negotiating ownership arrangements prior to starting any project.
3. Decolonizing the Research Paradigm
A major conclusion is the need to decolonize NLP research by shifting the relationship between researchers and Indigenous groups.
• Partners, Not Sources: Researchers must stop viewing Indigenous communities merely as "sources of data" and instead recognize them as people with their own histories and collective rights.
• Dialogue Over Norms: The study argues against a purely "normative" approach to ethics (a simple list of rules), concluding that every situation requires unique treatment and continued intercultural dialogue.
4. Addressing Specific Cultural Risks
The researchers identify specific ethical vulnerabilities that must be mitigated:
• Religious Sensitivity: Because of the history of translation as an instrument for colonial domination, the study strongly recommends that the Bible should not be used as a default training corpus for Indigenous MT without deep community consultation.
• Commercial Exploitation: There is a clear conclusion that researchers must guard against external entities (both academic and commercial) profiting from Indigenous data without communal benefit.
• The Standardization Trap: The study warns that attempts by "experts" to use MT to standardize Indigenous languages would be a "tremendous mistake," leading to the loss of vital dialectal diversity.
5. A Framework for Open Discussion
Ultimately, the study does not aim to provide a final normative code but rather an open discussion framework. It concludes that technology can serve as a "common good" (concept of Tequio) if it is developed through collaborative processes that respect the Indigenous communal cosmovision.</t>
  </si>
  <si>
    <t>• Ethical challenges: Refers to the central focus of the work, specifically the moral dilemmas arising from data collection and modeling for Indigenous languages.
• Machine Translation (MT): The primary technology under investigation, evaluated for its potential to either aid or harm endangered language communities.
• Indigenous languages: The specific category of languages the study focuses on, highlighting their deep ties to ethnic and cultural identity.
• Ethical approaches: Refers to the various theoretical frameworks (such as deontology or Indigenous communal cosmovisions) used to evaluate research practices.
• Inclusion and Consultation: These two terms are identified as the most vital requirements for "better and more ethical research," necessitating that communities are active partners rather than just sources of data.
• Language data: The material (parallel or monolingual text) required to train MT systems, which the study argues must be handled with community-approved protocols.
• Commercial usage: A specific area of concern for participants, who worry that external entities might profit from their cultural heritage without communal benefit.
• Cultural and religious misuse: Refers to the danger of technology being used to reveal ceremonial secrets or to impose dominant religious texts like the Bible.
• Data sovereignty: The right of Indigenous communities to have control over the data and knowledge they create.
• Technological sovereignty: A related concept emphasizing the community’s right to be directly involved in developing and owning the technology created for their languages.
• Natural Language Processing (NLP): The broader scientific field to which the researchers provide specific ethical recommendations.
• Open discussion framework: The final outcome of the study, intended to facilitate continued dialogue within Indigenous communities rather than imposing a single set of Western normative rules.</t>
  </si>
  <si>
    <t>Rossi 2019</t>
  </si>
  <si>
    <t>M53E6RX8</t>
  </si>
  <si>
    <t>Uses and perceptions of Machine Translation at the European Commission</t>
  </si>
  <si>
    <t>Caroline Rossi
E-mail: caroline.rossi@univ-grenoble-alpes.fr</t>
  </si>
  <si>
    <t>Lecturer involved in translator training at Université Grenoble Alpe</t>
  </si>
  <si>
    <t>2019/01</t>
  </si>
  <si>
    <t>To understand the current uses and perceptions of machine translation (MT) and post-editing (PE) within the Directorate-General for Translation (DGT) of the European Commission.</t>
  </si>
  <si>
    <t>2017</t>
  </si>
  <si>
    <t>Other: European Commission's DGT</t>
  </si>
  <si>
    <t>DGT translators</t>
  </si>
  <si>
    <t>1. High Acceptance but Polarised Perception
• Widespread Use: Overall MT acceptance was found to be high, with 89% of respondents using the tool either "systematically" (43%) or "in some cases" (46%).
• The "Threat" Narrative: Despite high use, perceptions were polarised; 40% of translators in the ethnographic phase viewed MT as a "threat" to the human translator, while others viewed it as a "typing aid" or a "constant progress".
2. Predictors of Use: Fear vs. Utility
The researchers used multiple linear regressions to determine what actually predicts whether a translator will use the tool:
• The Weight of Fear: Two factors introduced by the researchers—"fear of MT" (security) and "perceived impact"—had a more significant impact on actual use than traditional measures like "perceived usefulness" or "ease of use".
• Social Image: Perceived usefulness was significantly influenced by "image" (whether using the tool enhances one's professional standing) and "subjective norm" (the influence of peers), rather than just the tool's performance.
3. The Quality Paradox
A major result was that MT output quality was virtually unrelated to whether translators found the tool useful. This suggests that even if the machine provides relatively good output, other factors—such as cognitive load or the feeling of being "trapped" by the segments—can hinder the translator's activity.
4. The Correlation Between Knowledge and Fear
The study identified a direct link between technical literacy and anxiety:
• Knowledge Gap: There was a significant correlation between fear and a lack of knowledge about how MT works.
• The Empowerment Factor: Translators who perceived MT as a threat were consistently those who had the lowest scores for MT knowledge. While half the sample understood how the system worked, the researchers concluded this was not enough to truly "empower" the staff.
5. Interpretive Flexibility (Beyond Speed)
The study found that translators use MT for a wide variety of creative purposes beyond just saving time:
• Usage Profiles: While 37.9% use MT primarily to save time, others use it for meaning (16.8%), terminology (10.5%), and inspiration (4.2%).
• Expert Agency: Approximately 25% of translators provided negative feedback regarding "usable" output, demonstrating "interpretive flexibility" by knowing exactly when to discard MT if it lacked appropriate structure or did not make sense.
6. Language and Departmental Disparities
• High-Use Departments: Translators in the Spanish (ES), Italian (IT), Portuguese (PT), and Romanian (RO) departments showed the highest adoption rates.
• Low-Use Departments: The English (EN) department had the lowest scores for actual use, with only one out of 16 surveyed translators using MT systematically. The French (FR) department also fell into the low-use group in this specific data set.</t>
  </si>
  <si>
    <t>1. Perceptions Outweigh Performance
The researchers conclude that while technology acceptance is high among DGT staff, actual use is driven by internal feelings rather than the machine's accuracy. Their analysis showed that perceptions of MT (such as image and fear) have a strong impact on both perceived usefulness and actual use, whereas traditional factors like MT output quality were found to be virtually unrelated to how useful a translator found the tool.
2. Tasks vs. Activity: The Failure of Standard Models
A central conclusion is the need to distinguish between translation tasks (the automated steps in a workflow) and translator activity (the complex cognitive and ergonomic process).
• The study concludes that Technology Acceptance Models (TAMs) often fail because they focus on tasks rather than the "human-computer interactions" (HCIs) that involve cognitive load, feelings, and diverse experiences.
• While the DGT’s workflow is "extremely well-designed" for management, it does not necessarily ease the psychological or cognitive demands placed on the individual translator.
3. "Interpretive Flexibility" and Professional Trust
The authors conclude that institutional translators exhibit "interpretive flexibility," using MT creatively for inspiration or terminology rather than just speed.
• The results show that translators know very well when and why to discard machine output if it lacks sense or structure.
• Consequently, the researchers conclude that translators’ expertise can and should be trusted; the decision of when it is appropriate to use MT should remain with the human professional rather than being dictated by rigid guidelines.
4. The Knowledge-Empowerment Gap
The study identifies a critical link between technical knowledge and professional anxiety.
• The researchers conclude that "fear of MT" is significantly correlated with a lack of understanding of how the system works.
• However, they also conclude that simply knowing the technical facts is "obviously not enough" to truly empower staff. True empowerment requires giving translators more control over their environments and involving them as active "actors" in technology development rather than just passive users.
5. Training for Critical Thinking
Finally, the study concludes that these institutional insights offer new perspectives for translator training.
• Rather than just teaching post-editing skills, trainers should encourage students to think critically about their own cognitive processes when interacting with machines.
• By allowing students to choose when to use MT and justify those choices, they are better prepared for the "interpretive flexibility" required in the professional field.</t>
  </si>
  <si>
    <t>• Current uses and perceptions: The central focus of the study, highlighting that the research sought to understand both what translators do and how they feel.
• Machine translation (MT) and post-editing (PE): The specific technological artifacts and professional tasks that were the subject of the institutional mapping.
• Ethnographic methods and survey analysis: The two primary research approaches used to gather the data required to account for technology acceptance.
• Technology acceptance: The primary professional metric the study aimed to measure and predict using adapted models.
• Perceptions of MT: A term used to describe the subjective factors (such as image and fear) that the authors conclude have a "strong impact" on whether a tool is used.
• Perceived usefulness and actual use: Two specific variables that the authors conclude are heavily influenced by subjective feelings rather than just technical output quality.
• HCIs (Human-computer interactions): A broad term used by the authors to designate the complex and diverse relationship between the translator and the machine.
• Experiences and feelings: The psychological and ergonomic factors that the authors conclude existing models "partly fail to capture".
• Translator trainers: The professional role assumed by the authors in the conclusion, reflecting their desire to apply these results to educational curricula.
• Translators’ roles: The evolving identity of the human professional, which the authors hope to characterize in "diverse ways" to open up new professional perspectives.</t>
  </si>
  <si>
    <t>Khasawneh 2023</t>
  </si>
  <si>
    <t>6PG4ZKEV</t>
  </si>
  <si>
    <t>Evaluating the Role of Artificial Intelligence in Advancing Translation Studies: Insights from Experts</t>
  </si>
  <si>
    <t>Dr. Mohamad Ahmad Saleem Khasawneh
E-mail: mkhasawneh@kku.edu.sa
ORCID: 0000-0002-1390-3765</t>
  </si>
  <si>
    <t>Special Education Department, King Khalid University, Saudi Arabia</t>
  </si>
  <si>
    <t xml:space="preserve">The main concern is to evaluate the insights from translation experts on the degree of impact of artificial intelligence in advancing translation studies. </t>
  </si>
  <si>
    <t>• Main stakeholders: Refers to the specific groups whose views were extracted for the study, including professional translators, lecturers, postgraduate students, and university administrators.
• Revolutionised translation studies: A term used to describe the current state of the field where the incorporation of AI has fundamentally changed procedures, efficiency, and accuracy.
• Two projected hypotheses: The specific propositions tested regarding the benefits of AI integration, which served as the prism through which the data was analysed.
• t-test analysis: The specific statistical method mentioned in the conclusion that was used to validate the study's findings.
• Increased integration: Refers to the growing use of AI models and tools within both academic curricula and professional practice.
• Development of skilled translators: A central concluding outcome, suggesting that AI integration leads to better-trained experts in the field.
• Attract investors: An economic concept used to describe how the use of advanced models makes translation activities more financially appealing to outside parties.
• Globally recognised business: The status of the translation industry as it transitions from a supplementary activity to a primary and lucrative profession.
• Novel techniques and tools: The future advancements in translation research and practice that the authors conclude will be produced by ongoing AI integration.
• Collaborations and innovative models: The new pedagogical and professional frameworks that will emerge to advance the teaching of translation.</t>
  </si>
  <si>
    <t>NunesVieira 2020</t>
  </si>
  <si>
    <t>Translating perceptions and managing expectations: an analysis of management and production perspectives on machine translation</t>
  </si>
  <si>
    <t>PYXMRFVD</t>
  </si>
  <si>
    <t>Lucas Nunes Vieira
E-mail: l.nunesvieira@bristol.ac.uk</t>
  </si>
  <si>
    <t>School of Modern Languages, University of Bristol, UK</t>
  </si>
  <si>
    <t>To conduct a contrastive analysis of stakeholder perspectives - specifically those in management and production - regarding the use of machine translation (MT) in the professional translation industry.</t>
  </si>
  <si>
    <t>Personal contacts; Social media; Professional associations networks; Other: Attendees of a linguistics congress in Spain</t>
  </si>
  <si>
    <t>This work was supported by Spanish Ministry of Science, Innovation and Universities: [grant number REF CAS17/00385]. The study was partly funded by a José Castillejo mobility grant held by Dr Elisa Alonso (one of the authors) during a research stay at the University of Bristol in 2018 (REF CAS17/00385).</t>
  </si>
  <si>
    <t>Project managers, freelance and in-house translators</t>
  </si>
  <si>
    <t>1. Stakeholder Dissonance and Sentiment
The researchers used sentiment coding to contrast the views of Management (project managers/owners) and Production (translators).
• Management’s Balanced View: Managers held a relatively balanced stance, with similar numbers of positive and negative comments. They viewed MT pragmatically as a tool to navigate the "iron triangle" of speed, cost, and quality.
• Production’s Negative View: Translators were disproportionately negative, specifically regarding target-text quality, tools/interfaces, and productivity.
• The Communication Gap: A major result was the discrepancy in "Flow of Information." Translators often felt "alienated" or "detached" from the wider project strategy, receiving minimal instructions, while managers had a "panoramic view" but lacked direct experience with the cognitive effort of post-editing.
2. Quality, Agency, and Professional Identity
The study revealed a fundamental conflict regarding what constitutes a "successful" translation.
• The "Good Enough" Conflict: Managers were more willing to accept "fit-for-purpose" or "good enough" quality to meet client budgets or deadlines. Translators, however, reported an inherent "sense of duty" to the text and felt "annoyed" or "uncomfortable" delivering anything below high human standards.
• Responsibility for Error: Translators expressed anxiety over agency, feeling that while the machine generated the text, they remained the "experts" who would be blamed for any undetected errors.
• Quality Oversight: Managers reported very few quality complaints from clients, leading them to believe MT implementation was successful—a view that ran counter to the translators’ internal dissatisfaction with the final product.
3. Economic and Pricing Friction
The uncertainty of MT quality created significant challenges for quoting and compensation.
• The Productivity Paradox: Pricing was often based on estimated speed gains. However, when MT quality was lower than expected, translators suffered a loss in earning power because the task took longer than the managers' "over-expectations" predicted.
• Negotiation Conflicts: Managers reported "slight conflicts" when projects took four hours instead of two, noting that because clients were often on "squeezed" budgets, it was not always possible to renegotiate the fee.
4. Technology Awareness and Interfaces
• The Neural Gap: At the time of the interviews (2016–2017), Neural MT (NMT) was mentioned exclusively by managers. This suggested that managers were more attuned to the evolving technological landscape, while translators were primarily focused on the immediate task at hand.
• Polarizing Tools: Client-developed, cloud-based tools were a source of major dissatisfaction for translators if they lacked the features of familiar professional interfaces, though some found them useful if the MT quality was exceptionally high.</t>
  </si>
  <si>
    <t>1. MT as a Source of Market Uncertainty
The researchers conclude that MT adds complexity to the "iron triangle" of speed, cost, and quality.
• Because MT quality is inherently unpredictable, it is difficult for managers to provide precise quotes or for translators to estimate their effort beforehand.
• This uncertainty often leads to mismatched expectations, where clients and managers may have over-expectations of productivity that do not align with the reality of the translator's work.
2. Local Attachment vs. Global Detachment
A central conclusion is the identified gap between the "local" focus of the translator and the "global" focus of the manager.
• Translators exhibit a "local attachment" to the text, driven by a professional "sense of duty" to maintain high standards, even when a client asks for "good enough" quality.
• Managers maintain a "global detachment" or "panoramic view," allowing them to make pragmatic, business-oriented decisions about quality compromises that translators often find "annoying" or "uncomfortable".
3. Professional Alienation and Fragmentation
The study concludes that the current structure of the language industry alienates translators from business strategy.
• Translators are frequently relegated to the position of "peripheral contributors" or "technology users" rather than strategic partners.
• This fragmentation means that translators—who are the "core" of the business—often lack the contextual oversight and information flow needed to negotiate fair pay and realistic deadlines.
4. Reframing the "Threat" of MT
The authors conclude that framing MT as a "threat" to jobs is a "misguided" perspective that masks deeper structural problems.
• The real issue is not the technology itself, but the societal and business dynamics surrounding its use, such as unrealistic perceptions of its capabilities and the resulting downward pressure on word rates.
5. The Need for "Translatorial Agency" in Business
Finally, the study concludes with two primary recommendations for the industry and academia:
• Increased Involvement: Translators must be more involved in the management, estimation, and client-communication phases of projects to bridge the gap between production reality and managerial expectation.
• Radical Training Reform: As noted in our conversation history, the researchers argue that translator training should move beyond just "instrumental" skills like post-editing and instead foster a "conceptual understanding" of business dynamics, empowering translators to shape the market they are adapting to.</t>
  </si>
  <si>
    <t>• Uncertainty: The defining characteristic that MT adds to translation services, making it difficult to provide precise quotes or predict the effort required for a task.
• Work fragmentation: Refers to how the complex service provision networks of the modern industry break projects into isolated steps, often separating the person doing the translation from the person managing the client.
• Field of influence: Used to describe the restricted position of the translator, whose agency is often limited to the textual core of a project while they remain excluded from broader decision-making.
• Alienating / Alienation: The process by which translators are detached from business strategy, relegated to being "technology users" rather than strategic partners.
• Estimation and client-communication: The two specific areas where the authors argue translators must become more involved to bridge the gap between production reality and managerial expectations.
• Integrated roles: The study’s primary recommendation for the future, suggesting that translators should play a broader role within translation supply chains.
• Threat: A term the authors argue should be reframed; they conclude that the "threat" to the profession is not the technology itself, but rather the unrealistic perceptions and mismatched expectations surrounding its use.</t>
  </si>
  <si>
    <t>Fung 2018</t>
  </si>
  <si>
    <t>D7X889BT</t>
  </si>
  <si>
    <t>Post-Editing in the Wild: An Empirical Study of Chinese-to-English Professional Translators in New Zealand</t>
  </si>
  <si>
    <t>Yuen May Fung</t>
  </si>
  <si>
    <t>School of Cultures, Languages and Linguistics, The University of Auckland</t>
  </si>
  <si>
    <t>• Understanding the PE Process and Product: The study seeks to describe how these translators execute a post-editing task on a technical patent text, focusing on their productivity, the quality of the final output, and the specific types of textual changes and errors made.
• Correlating Perception and Actuality: It aims to examine the relationships between subjective self-reported data (such as perceived effort) and objective measured data (such as actual time spent and number of edits) to determine if specific measurements can serve as reliable proxies for post-editing effort.
• Analysing the Impact of Personal Attributes: The research explores how a translator’s attitude towards machine translation (MT), their in-domain (patent) experience, and their dominant working language (L1 versus L2) impact their overall performance.</t>
  </si>
  <si>
    <t>Professional Chinese-to-English translators</t>
  </si>
  <si>
    <t>Task Execution and Productivity
• Time and Efficiency: The average time taken to complete the post-editing of 332 machine-translated words was 55.7 minutes, though individual durations varied significantly from 26 to 79.6 minutes.
• Productivity Levels: The group’s mean productivity was 3,256 words per day, which is higher than the industry benchmark for manual translation (2,500 words) but lower than the standard for full post-editing (5,000 words).
• Workflow Distribution: Participants spent the majority of their time (71.5%) on the first post-editing pass, while 13.5% was dedicated to preparation/research and 9.8% to self-revision and review.
• Editing Types: The most frequent textual changes were substitutions (45%), followed by deletions (25%), insertions (17%), and re-ordering (13%). All participants exhibited a similar distribution pattern of these edit types.
Technology Adoption and Research Habits
• Heavy Use of Free MT: A notable result was the frequent and conspicuous use of free online machine translation systems (such as Google Translate and Youdao fanyi) as a research tool during the task.
• Online Research: Online resources accounted for over 71% of total preparation time, with online MT sites being the most used resource (46%), followed by search engines and dictionaries.
Quality and Error Analysis
• Error Generation: The participants introduced 107 new errors during the process, with meaning deletion being the most frequent error type (40.2%).
• Overlooked Errors: The group missed 23 existing machine translation errors, the majority of which were related to accuracy (meaning) rather than fluency (grammar).
• Metric Scores: All but one participant produced a final text that was an improvement over the raw MT baseline according to BLEU and TER scores.
Correlations Between Effort and Actuality
• Perceived vs. Actual Effort: At the sentence level, there was a weak but statistically significant correlation between how difficult a translator perceived a sentence to be and the actual time and number of edits required to fix it.
• Influence of Sentence Length: Contrary to some previous studies, sentence length did not influence perceived effort ratings, meaning translators did not automatically rate longer sentences as more difficult. However, longer MT sentences did correlate with a higher number of edit events.
Impact of Professional Attributes
• Attitude towards MT: Translators with a more positive attitude towards technology spent more time on the first PE pass, less time on self-revision, and produced higher quality output (as indicated by lower TER scores).
• In-domain Experience: Participants with prior patent translation experience were significantly more productive and made fewer accuracy-related errors than those without such experience.
• The Directionality Factor: A major result was that native English speakers (L1) did not perform significantly differently from non-native English speakers (L2) in terms of productivity or overall quality. While L1 translators introduced slightly fewer fluency-related errors, this difference was not statistically significant.</t>
  </si>
  <si>
    <t>Significant Individual Variation
The study concludes that there is considerable variation among professional translators in terms of their post-editing style, productivity, and the quality of their final output. Despite similar professional backgrounds, individuals utilised different strategies to manage the task, with total task durations ranging from 26 to nearly 80 minutes.
The Impact of Attitude and Experience
A primary conclusion is that a translator's attitude toward machine translation (MT) directly influences their work.
• Positive Attitude: Participants with a more favourable view of the technology tended to spend more effort improving the output and achieved significantly better quality results.
• Domain Expertise: In-domain (patent) translation experience and formal translator training were concluded to be the primary drivers of higher productivity and better accuracy.
The Role of Native Language (Directionality)
A critical conclusion of the study is that language directionality does not significantly affect performance. The research found no empirical evidence that native English speakers (L1) performed better than non-native speakers (L2) regarding post-editing productivity or final quality. This suggests that post-editing may help "level the playing field" for translators working into their second language.
Frequent Use of Free Online MT
The study concludes that professional translators frequently and conspicuously use free online machine translation systems (such as Google Translate) as research and inspiration tools, even when they have no formal prior experience in post-editing. Online MT was the most used resource during task preparation, accounting for 46% of total online research time.
Correlating Perception and Actuality
The researcher concludes that subjective perception of effort is a reasonably valid, though weak, indicator of actual work.
• Correlations: There were statistically significant correlations between how difficult a translator perceived a sentence to be and the actual time and number of edits required to fix it.
• Sentence Length: Contrary to some previous theories, sentence length did not influence perceived effort, meaning translators did not view longer sentences as inherently more difficult than shorter ones.
Quality Improvement and Error Generation
The study concludes that while most translators produce an output that is a measurable improvement over the raw MT baseline, the process is prone to human error. Participants introduced numerous new errors (predominantly meaning deletions) and missed existing MT errors (primarily related to accuracy), highlighting that post-editing requires high levels of vigilance and specific training.
Human-Machine Cooperation
Ultimately, the study serves as an empirical basis for advancing the understanding of post-editing as an increasingly important form of human-machine cooperation. It concludes that as post-editing becomes a mainstream service, there is an urgent need to develop specialised training strategies, particularly for those working in their second language, to future-proof the livelihoods of professional translators.</t>
  </si>
  <si>
    <t>Ruffo 2022</t>
  </si>
  <si>
    <t>92E6WX89</t>
  </si>
  <si>
    <t>Collecting literary translators’ narratives - Towards a new paradigm for 
technological innovation in literary translation</t>
  </si>
  <si>
    <t>Paola Ruffo
ORCID: 0000-0002-1688-4758</t>
  </si>
  <si>
    <t>University of St Andrews: St Andrews, GB - Associate Lecturer, Department of Italian</t>
  </si>
  <si>
    <t>The overall aim of the study was to include literary translators’ voices in the conversation on technological innovation in their profession in order to proactively assess their relationship with technology and identify potential solutions to emergent issues.</t>
  </si>
  <si>
    <t>2018/09</t>
  </si>
  <si>
    <t>2018/10</t>
  </si>
  <si>
    <t>Social media; Professional associations networks; Other: Mailing lists</t>
  </si>
  <si>
    <t>Literary translators in UK translation associations and online translation communities</t>
  </si>
  <si>
    <t>1. Confidence Levels: The General vs. Specific Gap
A significant discrepancy exists between translators' comfort with general technology versus tools designed specifically for translation:
• General Technology: Confidence is exceptionally high, with 79% of respondents describing themselves as either "Confident" or "Extremely confident".
• Translation-Specific Technology: Confidence levels drop sharply; only 34% feel confident or extremely confident, while 25% are "not confident at all".
• Influencing Factors: Younger translators (18–25) and those with postgraduate academic qualifications or specific technology training reported significantly higher confidence levels in using translation-specific tools.
2. Technology Use: A Legacy of "Manual" Digital Work
While literary translators are digitally active, they largely avoid specialized translation automation:
• Dominant Tools: The most widely used resources are online dictionaries (82%), text-editing software (39%), and internet searches (38%).
• Rejection of CAT and MT: A striking 71% of respondents report using no translation-specific technology in their literary practice. Among the minority who do, CAT tools (25%) are more common than Machine Translation (7%) or terminology management tools (5%).
3. Appealing Aspects: Technology as an "Assistant"
Translators welcome technology when it supports rather than replaces their creative process:
• Research (39%): Technology is most valued for fast information retrieval and clarifying context.
• Efficiency (22%): Tools that reduce "donkey work"—such as typing, proofreading, or "housekeeping" tasks—are praised for freeing up time for creativity.
• Memory Compensation: Translation Memory (TM) is appreciated by some for providing a searchable record of past decisions and ensuring consistency.
4. Unappealing Aspects: Standardisation and Disruption
The most vocal opposition is directed at tools that interfere with the "essence" of literary translation:
• Hindrance to Creativity (27%): Respondents expressed concerns that TM and MT cause lazy memory and lead to standardised, impoverished language that lacks a unique "voice".
• Disruption of Autonomy (18%): Features like segmentation in CAT tools are seen as disrupting the narrative flow, preventing translators from working on the text as a "narrative whole".
• Narratives of Replacement (14%): There is significant frustration regarding the "outsider" discourse (from developers or publishers) suggesting that technology will make the profession obsolete.
5. Professional Attitudes and the "Dichotomy"
The study identifies a clear dichotomy in how literary translators construct the notion of technology:
• Overall Sentiment: Despite the fears mentioned above, 49% of participants expressed generally positive feelings about the relationship between technology and literary translation, while 20% felt "torn".
• The Helpful vs. Imposed Divide: Translators view general technology as a helpful enhancement that aligns with their self-image as artists and language custodians. Conversely, translation-specific tools (CAT, MT) are often perceived as imposed from above, inflexible, and incompatible with the creative spirit of literature.
In summary, the results suggest that literary translators do not reject technology on principle but rather oppose poor usability and tools that prioritise productivity and cost-reduction over the nuances of creative expression.</t>
  </si>
  <si>
    <t>1. The General vs. Specific Technology Dichotomy
The primary conclusion is that literary translators do not reject technology on principle; rather, they inhabit a dichotomy between two types of tools. General digital technology (such as online dictionaries and internet searches) is embraced as a helpful enhancement that aligns with the translator’s self-image as an artist or language custodian. Conversely, translation-specific technology (such as CAT tools, Translation Memory, and MT) is often perceived as imposed from above, inflexible, and antithetical to the creative "essence" of literary work.
2. Rejection Based on Usability and Values
The study concludes that resistance to tools like MT and CAT is often a response to poor usability and a misalignment of values. While tool developers and publishers often prioritise cost-reduction and productivity, literary translators prioritise quality, original "voice", and narrative flow. Practitioners feel that machine-driven processes like segmentation disrupt the text as a "narrative whole," leading to standardized or "impoverished" language.
3. The Need for a "Human-Centred" Paradigm
A major conclusion is that the voices of literary translators have been consistently excluded from the discourse on technological innovation. To make technology sustainable in this field, the author argues for a shift towards human-centred approaches that centre the practitioner’s point of view and respect their unique workflow. This would help alleviate the "sense of confusion" translators feel in the current socio-technological landscape.
4. From Automation to Enhancement
The research identifies enhancement as the most productive framework for the future. Rather than using technology to bypass human understanding, sustainable tools should empower the translator by handling mechanical "donkey work" (such as housekeeping, proofreading, or fast information retrieval), thereby freeing up space for enhanced creativity.
5. Proposed "Closure Mechanisms" (Solutions)
Using the Social Construction of Technology (SCOT) framework, the study identifies two specific ways to resolve current professional controversies and achieve industry "stabilisation":
• Active Inclusion: Literary translators must be included in the conversation and the tool development process to ensure technology meets their actual needs rather than being an external imposition.
• Targeted Training: There is an urgent need for specialised technology training for literary translators that focuses on how to adapt existing tools to the specificities of creative texts, which would in turn increase professional confidence.
6. The Vision for an Ideal Literary Tool
Ultimately, the study concludes that an ideal tool for this sector would feature a highly customisable interface that interferes as little as possible with the translation experience. It would combine a straightforward text-editing environment with powerful research and terminology aids, allowing translators to remain "performers" and "directors" of the artistic creation.</t>
  </si>
  <si>
    <t>• Dichotomy: The central concept used to describe how literary translators view technology; they distinguish sharply between general technology (seen as helpful enhancement) and translation-specific technology (seen as a creative hindrance).
• Enhancement: Proposed as a more productive framework for the future; a sustainable tool should enhance practice by assisting with mechanical tasks rather than bypassing human understanding.
• Closure mechanisms: A term from the SCOT framework referring to the potential solutions needed to resolve controversies between social groups (translators vs. developers/publishers); specifically, the author identifies inclusion and specialised training as the two primary mechanisms.
• Stabilisation: The state where controversies are resolved and a technology becomes accepted; the author concludes this can be reached by promoting collaboration between all involved stakeholders.
• Sustainable technological innovation: Describes technology that respects the translator’s self-image and needs, ensuring it is not perceived as an "imposition from above".
• Materiality and immateriality: Refers to the need to rebalance the relationship between the non-human (digital tools) and the human (creativity, soul, and spirit).
• Sense of confusion: A term (originally from Cronin) used in the conclusion to describe how translators feel when trying to give meaning to the new socio-technological order.
• Empowerment: The idea that technology should empower translators to improve quality and consistency while freeing up space for enhanced creativity.
• Highly customisable interface: A specific technological requirement identified in the conclusion for an "ideal tool" that would interfere as little as possible with the translation experience.
• Technology training: Highlighted as a central aspect of closure, specifically training that focuses on how existing technology can be adapted to the specificities of literary texts.
• Active inclusion: The concluding recommendation that literary translators must be part of the tool development process and the wider professional discourse.</t>
  </si>
  <si>
    <t>Courtney 2019</t>
  </si>
  <si>
    <t>5CEZQLU6</t>
  </si>
  <si>
    <t>Translators’ experiences of occupational stress and job satisfaction</t>
  </si>
  <si>
    <t xml:space="preserve">Jennifer Courtney
E-mail: jennifer.courtney4@mail.dcu.ie </t>
  </si>
  <si>
    <t>Dublin City University</t>
  </si>
  <si>
    <t>To measure the self-perceived occupational stress and job satisfaction levels of translators.</t>
  </si>
  <si>
    <t>2017/05/24</t>
  </si>
  <si>
    <t>2017/07/19</t>
  </si>
  <si>
    <t>Translators who are members of the Chartered Institute of Linguists (UK) or the Irish Translators’ and Interpreters’ Association.</t>
  </si>
  <si>
    <t>The study found that respondents experience medium to high levels of occupational stress, driven by the following factors:
• Time and Speed Pressures: The majority of respondents (63%) reported having to work very fast, and 49% felt pressured to work long hours.
• Workload Volatility: Over half (55%) experienced marked increases in workload, often described as a "feast or famine" cycle typical of freelance work.
• Psychological Impact: Nearly half of the participants (46%) reported feeling stressed or anxious in the month prior to the survey due to job demands.
• Mismatch in Preferences: While many are forced to work under pressure, only 5% of translators actually enjoy doing so, suggesting that job demands often conflict with professional preferences.
Paradoxically High Job Satisfaction
One of the most significant results is a paradox: despite identifying high stress levels, translators exhibit high to extremely high job satisfaction.
• General Satisfaction: Approximately 80% of respondents agreed that, in general, they are satisfied with their job.
• Perceived Job Value: Nearly 58% of translators believed it would be difficult for them to find a better job.
• Career Commitment: Most respondents (57%) stated they intended to remain in the profession, while 28% would choose a different career if given the option.
Thematic Sources of Stress and Satisfaction
The qualitative analysis of the survey identified specific drivers behind these feelings:
• Major Stressors: These include poor treatment from agencies (feeling undervalued or treated like "robots"), decreasing remuneration, and uncertainty about the future.
• The Technology Factor: a portion of respondents (4%) specifically identified machine translation and CAT tools as stressors, noting that technology is "driving down income" and "increasing turnaround times".
• Major Satisfiers: Satisfaction is derived from flexibility and autonomy (especially for those who are self-employed) and the "art of translation" itself, which provides mental stimulation and a sense of accomplishment.</t>
  </si>
  <si>
    <t>The Stress-Satisfaction Paradox
The researchers conclude that there is no established relationship between occupational stress and job satisfaction in the translation profession. While standard organizational psychology often suggests that high stress leads to low satisfaction, this study found the opposite:
• High Stress: Translators experience medium to high levels of stress driven by job demands like time pressure and the need to work very fast.
• High Satisfaction: Despite these pressures, approximately 80% of respondents are satisfied with their jobs, and most intend to remain in the profession.
Sources of Professional Stress
The study concludes that the primary stressors for translators are often external and outside their direct control.
• Treatment and Remuneration: A major conclusion is that translators feel undervalued and poorly treated by agencies, often being handled like "robots" in an "assembly line". This is compounded by decreasing pay rates and late payments.
• Technology as a Stressor: Similar to the Danish and Swiss studies in our conversation history, the sources conclude that machine translation (MT) and CAT tools are significant stressors. Translators feel technology is "driving down income" and "increasing turnaround times," particularly affecting those with many years of experience.
• Future Uncertainty: Freelance translators, in particular, suffer from the "feast or famine" cycle, leading to anxiety over the unpredictability of future income and projects.
Drivers of Job Satisfaction
The study concludes that satisfaction is derived from the intrinsic nature of the work rather than external rewards.
• Autonomy and Flexibility: For the freelance majority, the ability to control their own schedule and relocate or spend time with family is a primary source of satisfaction.
• The "Art of Translation": Translators find immense fulfillment in the mental stimulation and the craft of producing high-quality texts. Knowing they have "translated something well" provides a sense of accomplishment that outweighs professional stressors.
The Power of "Saying No"
A key conclusion regarding stress management is that autonomy allows for stress mitigation. Unlike in-house translators, freelancers can choose to reject "unachievable" deadlines or unreasonable projects. The researchers conclude that when stress is "self-imposed" by taking on too much work, translators can improve their well-being by becoming more assertive and learning to decline unsuitable offers.
Professional Status and Visibility
Finally, the study concludes that translators are highly qualified experts who are very eager to establish their professional credentials. The researchers suggest that the eagerness of respondents to list multiple degrees and honours reflects a desire to combat the low social status and lack of visibility they often feel within the industry.
In summary, while translators face a "dark" future regarding industry changes and poor agency treatment, they remain deeply committed to the intellectual and personal independence that the art of translation provides.</t>
  </si>
  <si>
    <t>• Occupational stress: The central focus of the study, which was found to be at medium to high levels among the participants.
• Job satisfaction: Described as the "cognitive appraisal of the working environment," which the study concluded remains high to immense despite the presence of stressors.
• Predictors of occupational stress: The specific external factors identified as the primary causes of stress: poor treatment from agencies and clients, remuneration issues, uncertainty about the future, and tight deadlines.
• Self-perceived stress: The study's method of measurement, based on how translators view their own levels of pressure and anxiety.
• Self-imposed stress: A conclusion that some stress is not caused by the work itself but by a lack of assertiveness or the translator's inability to "say no" to unreasonable deadlines.
• Flexibility and job autonomy: Key sources of satisfaction, particularly for freelancers, involving the ability to negotiate or reject projects and determine one's own working hours.
• Art of translation: A source of intrinsic satisfaction derived from the mental stimulation and the act of creating a high-quality new text.
• No relationship established: The significant conclusion that, contrary to some literature, high levels of stress in this profession did not result in low levels of job satisfaction.
• Highly skilled experts: How translators perceive themselves, contrasted with the conclusion that they often feel undervalued or unrecognised by agencies and the broader industry.
• Work-related stress: The broader societal context mentioned in the conclusion, which the authors argue must be addressed to protect the mental and physical health of professionals.
• High-pressure society: The modern environment in which the authors conclude it is essential to acknowledge the importance of occupational health.</t>
  </si>
  <si>
    <t>Phan 2022</t>
  </si>
  <si>
    <t>On the Perception of Human Translation and Machine Translation Post-Editing among Vietnamese Translators</t>
  </si>
  <si>
    <t>9Z6322JJ</t>
  </si>
  <si>
    <t>Thi-Huong Phan</t>
  </si>
  <si>
    <t>Kwangwoon University</t>
  </si>
  <si>
    <t>Vietnam</t>
  </si>
  <si>
    <t>To understand the relationships between translation types, HT and MTPE, and Vietnamese translators’ perceptions on the translation process and product.</t>
  </si>
  <si>
    <t>43</t>
  </si>
  <si>
    <t>Research Grant of Kwangwoon University in 2022</t>
  </si>
  <si>
    <t>Vietnamese student translators</t>
  </si>
  <si>
    <t>1. Enhanced Process Convenience and Reduced Cognitive Load
The researchers conclude that MTPE offers a clear advantage in the translation process by making vocabulary and terminology searches more convenient. While human translation (HT) requires translators to search from scratch using dictionaries and thesauri, MTPE presents this data in advance. This leads to the conclusion that MTPE alleviates the "cognitive and psychological burden" associated with manual searching.
2. Perceived Quality Parity and Trust
A major conclusion of the study is that Vietnamese translators are equally satisfied with the quality of HT and MTPE products. There was no statistically significant difference in their satisfaction regarding accuracy, fluency, or the usage of idioms and terminology between the two methods. This suggests that the younger generation of translators "do not mind using MTPE" and have a high level of trust in the quality it produces.
3. Shift in Translation Priorities
The authors conclude that the high level of satisfaction with MTPE indicates a potential shift in professional priorities. They suggest that while older or more traditional translators (such as those in the Korean study by Hong and Lee) may focus on sophisticated syntactic accuracy and native-like fluency, Vietnamese student translators may prioritise the delivery of intended meaning over these nuances.
4. Acceptance of Remuneration Models
Unlike results found in previous studies, the survey concludes that there is no difference in the level of satisfaction with pay between HT and MTPE. Vietnamese translators were generally satisfied with the compensation for both types of services, indicating that the economic model for MTPE is currently well-accepted within this market.
5. Implications for Education and Industry
The study concludes that the translation paradigm has shifted radically toward machine-assisted workflows. Consequently, the researchers highlight several practical applications for their findings:
• Curriculum Reform: The findings should contribute to the development of MTPE training programs, as new translators must now be proficient in both HT and MTPE.
• Industry Progress: The study helps traditional translators develop a clearer, more discernible view of the industry's technological progress.
• Human-Machine Co-existence: Ultimately, the researchers conclude that co-existence with MTPE is gaining acceptance and is essential for the vitality and efficiency of modern translation procedures.</t>
  </si>
  <si>
    <t>• Human Translation (HT) and Machine-Translation Post-Editing (MTPE): The two core translation paradigms compared throughout the study to understand shifting professional perceptions.
• Vocabulary and Terminology searches: Identified as the specific process elements that are carried out more "conveniently" in MTPE than in HT.
• Cognitive and psychological burden: The mental strain that the authors conclude is alleviated by MTPE because the software presents data in advance rather than requiring a search from scratch.
• Accuracy and Fluency: The primary metrics for product quality; the authors conclude that translators are equally satisfied with these outcomes in both HT and MTPE.
• Trust: A term used to describe the participants' attitude toward the quality of MTPE, which contrasts with the skepticism found in earlier studies of other regions.
• Delivery of intended meaning: Identified as the primary focus for Vietnamese student translators, serving as a potential explanation for why they are more accepting of machine-assisted results.
• Sophisticated syntactic accuracy and native-like semantic fluency: Concepts used to describe the priorities of more traditional or professional translators (such as those in South Korea) who may view MTPE less favourably.
• Pay satisfaction: The conclusion that there is no difference in how translators perceive their remuneration across the two methods.
• Professional vs. Student translators: A key distinction made in the "Shortcomings" section, noting that the results might differ if the sample were limited to those with longer professional experience.
• Future research: The authors' call for further studies to strengthen the findings and address variables not fully analysed, such as time consumption.</t>
  </si>
  <si>
    <t>Ruffo 2018</t>
  </si>
  <si>
    <t>2SM3ZCXD</t>
  </si>
  <si>
    <t>Human-Computer Interaction in Translation: Literary Translators on Technology and Their Roles</t>
  </si>
  <si>
    <t>Paola Ruffo 
E-mail: pr25@hw.ac.uk</t>
  </si>
  <si>
    <t>Heriot-Watt University Edinburgh, UK</t>
  </si>
  <si>
    <t>To achieve a richer understanding of the human and technological factors at play within the field of literary translation.</t>
  </si>
  <si>
    <t>This doctoral research project is funded by Heriot-Watt University and is supervised by Dr Marion Winters and Prof Graham Turner, under the auspices of the Centre for Translation and Interpreting Studies in Scotland (CTISS), Heriot-Watt University, Edinburgh, Scotland, UK.</t>
  </si>
  <si>
    <t>Literary translators based in Edinburgh, UK</t>
  </si>
  <si>
    <t>1. Technology Confidence and Usage Gap
• General vs. Specific Tech: While nearly all respondents felt very confident with general technology, this confidence did not extend to translation-specific tools.
• Literary vs. Non-Literary Work: Respondents reported using zero specialized translation technology (CAT or MT) for their literary projects. However, five out of the eight participants did use CAT tools for their non-literary assignments.
• Preferred Tools: For literary work, translators rely on "general" technology such as Microsoft Word, online dictionaries, spellcheckers, and time management software.
2. Professional Identity and Role Perception
• The "Noble" Craft: Translators view their work as a noble activity rooted in art and passion, requiring deep cultural and linguistic knowledge.
• Outsider Misunderstanding: A significant finding was a sense of isolation and frustration, as participants felt that people outside the profession fail to appreciate or understand the complexity of literary translation.
3. Attitudes Toward Technology
• Interpretative Flexibility: Following the SCOT framework, translators make a sharp distinction between different types of technology.
• Supportive vs. Threatening Tech:
    ◦ Positive: Translators praised the internet, corpora, and terminology tools as essential for research. They also valued online forums and communities as a way to combat professional isolation.
    ◦ Negative: CAT tools and Machine Translation (MT) are largely dismissed. Respondents believe these tools will never catch on in literature as they have in other sectors because they "threaten to steal the essence" of the creative process by ignoring uniquely human aspects.</t>
  </si>
  <si>
    <t>1. The "Interpretative Flexibility" of Technology
A primary conclusion is that literary translators make a sharp distinction between different categories of digital tools. Following the Social Construction of Technology (SCOT) framework, they do not view technology as a single, deterministic force but rather interpret different tools through their own professional values.
• Supportive Technology: Tools that facilitate research—such as the internet, corpora, and terminology tools—are highly praised and considered essential to the modern workflow.
• Threatening Technology: CAT tools and Machine Translation (MT) are largely dismissed. The conclusion is that these tools are seen as ignoring the "peculiarly human aspects" of translation and are therefore viewed as incompatible with literature.
2. Preservation of the "Noble" Professional Identity
The study concludes that the rejection of specialized translation technology is deeply tied to the translator’s self-perception and professional role.
• Translators view their work as a "noble activity" rooted in art, passion, and profound cultural knowledge.
• Because current automation (MT/CAT) focuses on efficiency and segments, translators conclude that these tools "threaten to steal the essence" of their creative activity.
• There is a strong belief that while technology has transformed other sectors, it will "never catch on" in the literary field in the same way.
3. Technology as a Solution to Isolation
A significant social conclusion is that technology serves a vital role in combating the professional isolation inherent in the craft.
• Translators feel that those outside the profession fail to understand the complexity of their role, leading to frustration and a sense of being undervalued.
• To mitigate this, they utilize online forums and digital communities to connect with colleagues, suggesting that "social" technology is far more welcome than "productive" technology.
4. The "Non-Literary" Bridge
The data suggests that the use of technology is context-dependent rather than based on a lack of skill.
• Even though respondents used zero specialized technology for literary work, the majority (five out of eight) reported using CAT tools for their non-literary assignments.
• This leads to the conclusion that literary translators are technologically competent but choose to reject these tools for creative work because they do not align with the artistic requirements of the genre.</t>
  </si>
  <si>
    <t>• Theoretical and methodological frameworks: Refers to the underlying structures of the study, specifically the Social Construction of Technology (SCOT) and interpretivist approach.
• Personal narratives: Used to describe the individual stories and qualitative data gathered from translators about their professional experiences.
• Shift from humanistic to technology-driven: Describes the transition of the translation profession in the digital age, which the study aims to document through translators' own perspectives.
• Perceptions of their role in society: A core metric of the study, focusing on how literary translators view their own professional identity and how they believe "outsiders" perceive them.
• Attitudes towards technology: Refers to the specific feelings (often mixed) that translators hold regarding digital tools, ranging from the internet to specialized CAT and MT software.
• Preliminary findings: Highlights that the data presented (specifically the rejection of specialized tech in favour of supportive tools) represents the initial pilot phase of a larger ongoing project.</t>
  </si>
  <si>
    <t>Kerremans 2019</t>
  </si>
  <si>
    <t>KWPKC6YJ</t>
  </si>
  <si>
    <t>TECHNOLOGY USE BY PUBLIC SERVICE INTERPRETERS AND TRANSLATORS: THE LINK BETWEEN FREQUENCY OF USE AND FORMS OF PRIOR TRAINING</t>
  </si>
  <si>
    <t>Koen Kerremans
E-mail: koen.kerremans@vub.be</t>
  </si>
  <si>
    <t>Vrije Universiteit Brussel, Belgium</t>
  </si>
  <si>
    <t>To obtain information about public service interpreters and translators use of technology as a possible bridging instrument for communication in public services</t>
  </si>
  <si>
    <t>2018/03</t>
  </si>
  <si>
    <t>Public service interpreters and translators</t>
  </si>
  <si>
    <t>1. Frequency of Technology Use
The researchers found an overall low frequency of use for specialised technologies across the PSIT sector. The findings for specific categories are as follows:
• CAT and TB Tools: A vast majority of respondents are unfamiliar with these tools. 73.4% do not use Computer-Assisted Translation (CAT), and 81.4% do not use Termbase Management (TB) systems. In fact, nearly half of the respondents reported not even knowing what these technologies were.
• IM, MT, and VC: These are used more extensively, though still by fewer than half of the participants. Instant Messaging (IM) had the highest "very frequent" use at 28.2%, followed by Machine Translation (MT) at 17.6%, and Video Conferencing (VC) at 8%.
• Correlations: There are weak positive correlations between the use of different tools, suggesting that a professional who adopts one form of technology is slightly more likely to use others.
2. Impact of Prior Training
The study highlights a significant gap between professional practice and formal education:
• Forms of Learning: Only 10% to 18% of respondents learned to use these technologies during their university studies. Instead, self-training is the most common method for learning IM (60%), MT (58%), and VC (50%).
• Formal Translation/Interpreting Training: Participants with formal higher education in translation or interpreting showed significantly higher use of CAT tools compared to those without, though usage remained low overall.
• Specific PSIT Training: Completing a course specifically dedicated to public service interpreting and translation was found to lead to a significantly higher frequency of MT use.
• Self-Training Efficacy: For Termbase (TB) systems, self-training was associated with a significantly higher frequency of use than informal training or workshops.
3. Demographic and Geographical Variations
• Age: Age generally does not correlate with technology use, with one exception: there is a weak negative correlation regarding MT, suggesting that younger PSITs use machine translation more frequently than their older colleagues.
• Time Spent on PSIT: Surprisingly, professionals who spend more than 50% of their time on PSIT activities do not use technology more than those who do it less frequently. This may be because those with lower PSIT workloads are active in other translation fields where technology is more established.
• Geography: European PSITs use CAT and TB tools significantly more than their Australian peers. This is likely due to European curricula integrating these tools more frequently into formal training.
4. Professional Motivations and Barriers
The study provides qualitative insights into why PSITs choose or reject certain tools:
• Reasons for Non-Use: Many respondents view CAT tools as unnecessary for interpreting or for short translation projects without repetition. Regarding Video Conferencing, some interpreters expressed concerns that it makes the service "impersonal" and could lead to a decrease in pay and professional status compared to onsite work.
• Reasons for Adoption: Those who use technology do so to save time, improve quality, and ensure terminology consistency. IM is primarily used for rapid communication with agencies and colleagues rather than for the translation task itself.
• Security Concerns: A notable barrier to using Instant Messaging and Machine Translation is the perception of confidentiality and reliability issues, which some participants feel are unprofessional in a public service context.</t>
  </si>
  <si>
    <t>General Low Adoption and Unfamiliarity
The researchers conclude that there is an overall low frequency of technology use across the PSIT sector. A striking finding is that a vast majority of respondents are entirely unfamiliar with established tools like Computer-Assisted Translation (CAT) and Termbase Management (TB) systems; nearly half of the participants reported not even knowing what these technologies were. This suggests that technologies considered standard in the broader translation industry have not yet become essential in the PSIT workflow.
The Role and Limitations of Training
A primary conclusion of the study is that formal university education currently plays a minor role in technological literacy for PSITs.
• Only 10% to 18% of respondents learnt to use these technologies during their formal studies.
• Self-training is the most common method for acquiring skills in Instant Messaging (IM), Machine Translation (MT), and Video Conferencing (VC).
• While formal translator training does positively influence the frequency of CAT tool use, the overall usage remains very low regardless of background.
• Specific PSIT training is a determining factor for the use of Machine Translation, suggesting that specialized courses can encourage the adoption of certain tools.
Geographical and Curricular Differences
The authors conclude that geographical location significantly impacts tool adoption. European PSITs use CAT and TB tools more readily than their Australian counterparts. The study attributes this to the fact that European translation and interpreting programmes tend to integrate technological training more consistently into their curricula.
Professional and Perceptual Barriers
The researchers identify several qualitative reasons why PSITs resist certain technologies:
• Interpreting vs. Translation: Many PSITs view CAT tools as irrelevant for interpreting or for short, non-repetitive translation tasks.
• Professional Status and Quality: There is a significant concern, particularly regarding Video Conferencing, that technology makes the service "impersonal". Interpreters fear that remote technology could lead to a decrease in pay and professional status while causing service quality to "plummet" due to the loss of nuanced meaning transfer.
• Security and Professionalism: Barriers to using IM and MT include concerns over confidentiality and the perception that using such tools with clients is unprofessional.
Future Research Directions
The study concludes that the PSIT profession is at a crossroads where technological competencies are gaining ground but are not yet fully realized. The authors suggest that future research must better distinguish between the needs of interpreters versus translators and explore how technology can be effectively deployed in the highly specific, high-stakes environments of public service provision.</t>
  </si>
  <si>
    <t>Seçkin 2022</t>
  </si>
  <si>
    <t>Y8R3KDTH</t>
  </si>
  <si>
    <t>The Attitudes of Technical Translators in Turkiye Towards Post-Editing</t>
  </si>
  <si>
    <t>Sevcan Seçkin
E-mail: sseckin@fsm.edutr
ORCID: 0000-0002-9258-2276</t>
  </si>
  <si>
    <t xml:space="preserve">Fatih Sultan Mehmet Foundation University, Department of Translation and Interpretation (Eng), İstanbul, Turkiye </t>
  </si>
  <si>
    <t>To reveal the attitudes of technical translators in Turkey towards post-editing (PE) and to explain these attitudes through a sociological lens.</t>
  </si>
  <si>
    <t>13</t>
  </si>
  <si>
    <t>Technical translators</t>
  </si>
  <si>
    <t>1. Economic Motivation: The "Libido" for Profit
• High Financial Satisfaction: A core result is that 60% of respondents are satisfied with the economic profitability of PE projects.
• Economic Interest over Cultural Capital: The study found that technical translators prioritize economic capital (money and assets) over cultural or symbolic capital.
• Time as Value: Respondents view time as the primary definer of value; because PE allows for faster translation with less effort, it leads to higher throughput and increased financial gain.
• Impact of National Crisis: The results suggest that the intense economic crisis and inflation in Turkey have forced translators to focus on job security and protecting their income, making them more accepting of PE to avoid unemployment.
2. Professional Identity: An Adaptive "Habitus"
• Adaptability: The study concluded that translators have a "structured and structuring" habitus that has successfully adapted to the new requirements of the field.
• Acceptance of New Roles: Rather than resisting the machine, translators have developed a "translatorial habitus" that accepts the role of post-editor to remain competitive in the market.
• Opportunity vs. Threat: 60% of participants view PE as an opportunity, citing that it allows them to handle larger volumes of work in less time.
• Survival Instincts: Resistance to technology was found to be a "primitive impulse" linked to the fear of losing one's job rather than a rejection of the tool itself; once translators realized they could earn more through PE, their attitudes shifted to positive.
3. Performance and Preferences
• PE vs. CAT Tools: Participants generally preferred PE over traditional translation with CAT tools because it is "easier" and less tiring.
• Limited Creative Freedom: A significant result is that because technical texts (e.g., user manuals, medical device instructions) already have limited freedom for interpretation, translators feel less "loss of spirit" when using machine outputs compared to other genres.
• Professional Satisfaction: While some find traditional translation more "enjoyable," 60% find PE more satisfying specifically due to its speed and financial rewards.
4. Future Outlook
• Transformation, not Disappearance: 70% of respondents believe that while the traditional role of the translator will change radically, the profession itself will not disappear; instead, it will shift almost entirely toward PE.
• Market Realism: Translators reported a "realist" perspective where they acknowledge that customer demands determine the tools they use, making adaptation a necessity for staying in the "game".</t>
  </si>
  <si>
    <t>1. Economic Gain as the Primary Driver
The study concludes that the "libido" or interest of technical translators in Turkiye is primarily focused on economic capital.
• Correlation with Satisfaction: There is a direct correlation between financial satisfaction and tool adoption; because PE allows for faster translation with less effort, it increases throughput and total earnings.
• Time as Value: For these professionals, time is the primary definer of value. The study concludes that because "more time means more economic capital," tools that increase productivity are viewed as an opportunity rather than a threat.
2. The Role of the "Adaptive Habitus"
Using Pierre Bourdieu’s sociological framework, the study concludes that these translators possess a "structured and structuring" habitus that has successfully adjusted to the needs of the field.
• Acceptance of Change: While initially hesitant, translators’ dispositions have evolved to accept the role of post-editor as a survival strategy to ensure they are not "left out of the system" in the future.
• Pragmatic Realism: The study concludes that translators have a "realist" perspective, acknowledging that customer demands determine the tools used, and they have "encoded" the need for change into their professional identity to secure their future positions.
3. Genre-Specific Acceptance
The study concludes that the nature of technical translation makes it uniquely suited for PE acceptance.
• Limited Creative Freedom: Unlike other genres, technical texts (like manuals) already offer "limited freedom to interpret".
• Absence of "Geist": Because these texts do not require high levels of creativity, technical translators do not feel a loss of "intellectual satisfaction" or "spirit" when using machine outputs, making them more willing to prioritize economic gains over "cultural capital".
4. Impact of the Turkish Economic Crisis
A critical conclusion is that these attitudes must be understood within the context of intense economic instability and high inflation in Turkiye.
• Job Security: The general climate of the country forces professionals to focus on protecting their income and avoiding unemployment.
• Survival over Resistance: The study suggests that the ease with which these translators accepted PE may be a direct response to the need for economic survival in a fragile market.</t>
  </si>
  <si>
    <t>• Adaptive perspective: Used to describe the translators' outlook, which favors integration and change over professional resistance.
• Economic gains/capital: The primary driver identified in the conclusion; the author notes that satisfaction with financial profitability is the main reason for positive attitudes.
• Habitus: A core Bourdieusian term used to describe the "structured and constructive" internal dispositions that allow translators to adjust to the changing needs of the field.
• Time as the definer of value: A concept stating that for technical translators, "more time means more economic capital," making time-saving tools like MT highly desirable.
• Cultural and symbolic capital/interest: Terms used to describe the prestige or "intellectual satisfaction" that technical translators acknowledge they cannot reach in their field, leading them to prioritize money instead.
• Efficiency and productivity: The material benefits provided by Machine Translation (MT) that facilitate a translator's positive attitude.
• Correlation: Specifically, the identified link between high economic profitability and high satisfaction rates with post-editing.
• Dispositions: The "encoded" tendency within a translator's identity to keep up with changes to secure their position in the future of the industry.</t>
  </si>
  <si>
    <t>Moorkens 2018</t>
  </si>
  <si>
    <t>X3MHIUD9</t>
  </si>
  <si>
    <t>Translators’ Perceptions of Literary Post-editing using Statistical and Neural Machine Translation</t>
  </si>
  <si>
    <t>Joss Moorkens</t>
  </si>
  <si>
    <t>- To assess Translators' Attitudes: To investigate how professional translators perceive the task of post-editing (PE) specifically when dealing with Neural Machine Translation (NMT) output.
- To test NMT Capability in Literature: To evaluate whether a state-of-the-art NMT system can effectively aid in the translation of literary texts - a "long-lifespan" and challenging genre to which machine translation is not traditionally applied.</t>
  </si>
  <si>
    <t>Professional translators who met the following requirements with experience in literary translation. They were native Catalan speakers with professional proficiency in English and had different experience levels.</t>
  </si>
  <si>
    <t>1. Productivity and Technical Effort (Objective Data)
The experiment measured the actual work performed by the six translators under three conditions: from scratch (HT), post-editing Statistical MT (SMT), and post-editing NMT.
• Speed Increases: Measurements showed that all translators were faster when post-editing than when translating from scratch. Furthermore, every participant was faster using NMT than SMT.
• Reduction in Typing: All translators used fewer keystrokes for NMT compared to SMT. For example, one participant saved 32% in time and 28% in keystrokes when using NMT compared to translating from scratch.
• System Performance: NMT was rated higher than SMT across all categories: helpfulness (4/5 vs 3.75/5), fluency (2.75/4 vs 2/4), and adequacy/accuracy (3/4 vs 2.5/4).
2. User Perceptions and Quality Assessment
Despite the productivity gains, the translators' subjective views were more critical:
• Preference for "From Scratch": Every single participant stated a preference for translating from scratch rather than post-editing.
• NMT vs. SMT Quality: Participants agreed that NMT output was more fluent and sounded more natural. In contrast, SMT was criticized for producing "calques" (literal structural copies) of the English source text.
• Creative "Priming": A major result was the finding that MT "conditions" or "primes" the translator. Participants felt restricted by the machine's suggestions, leading to more literal translations and a "lack of creativity" compared to their work from scratch.
3. The "Perception vs. Reality" Gap
The study highlighted several areas where the translators' feelings did not align with the logged data:
• Speed Paradox: While all were objectively faster when post-editing SMT than from scratch, two translators (T1 and T5) perceived themselves to be slower under that condition.
• Effort Paradox: Some translators felt that translating from scratch required less effort, even though they actually used more keystrokes for that method than for post-editing.
• Resistance to Productivity Gains: Even when shown data proving they were up to 32% faster with NMT, participants maintained their preference for the manual process, arguing that the "freedom" to structure the translation themselves was more valuable than speed.
4. Impact of Experience and Context
• The Experience Factor: As noted in our conversation history, there was a divide based on tenure: novice and mid-career translators (less than 10 years’ experience) were more willing to consider post-editing in the future, while the highly experienced experts (25–30 years’ experience) remained firmly opposed to using it.
• The Problem of Segmentation: Translators complained that the sentence-level segmentation of the software created a "fragmented vision" of the story, which they described as "translation in the darkness". They argued that literary translation requires a "global view" of paragraphs or pages to maintain the author's style and cultural nuances.</t>
  </si>
  <si>
    <t>1. Productivity Gains do not Equal Professional Preference
The study concludes that although technology increases speed, it does not increase job satisfaction.
• Objective Speed: All participants were objectively faster when post-editing NMT compared to translating from scratch or using older Statistical MT.
• Persistent Resistance: Despite these measured gains (e.g., one participant saved 32% in time), every translator still stated a firm preference for translating "from scratch".
• The "Hurry" Use Case: Translators concluded that NMT is only useful as a tool for "hurried" projects or repetitive texts, but it is not something they would choose to use for high-quality creative work.
2. The Creativity and "Priming" Problem
A central conclusion is that machine translation interferes with the artistic process of a novel.
• Cognitive Conditioning: The researchers found that MT suggestions "prime" or "condition" the translator. This forces the human to work within the machine’s interpretation, leading to more literal translations and a loss of the "freedom" to structure the text creatively.
• Literalism vs. Dynamic Equivalence: The study concludes that both MT systems struggled with the "fine details" of literary prose, often producing "calques" (literal structural copies) of the English source rather than a natural Catalan reading experience.
3. The Failure of Segmented Translation
The researchers conclude that the standard technological environment for translation is fundamentally unsuited for literature.
• "Translation in the Darkness": Participants concluded that sentence-level segmentation creates a "fragmented vision" of the story.
• Loss of Context: While humans maintain a "global view" of a page or chapter, the machine provides only a "peephole" view, making it difficult to maintain internal coherence and appropriate cultural nuances (such as correctly assigning gender to a "child" based on earlier context).
4. NMT as the New Technical Standard
Technically, the study confirms that NMT is a significant leap forward over Statistical MT (SMT) for creative texts.
• Superior Quality: Participants found NMT output to be more fluent and adequate.
• Reduced Technical Effort: The move to NMT demonstrated a clear improvement in reducing the number of edits and keystrokes required.
5. Experience and the "Threat" of AI
The study concludes that a translator's background significantly shapes their view of the technology:
• The Experience Factor: As noted in our conversation history, less-experienced translators found MT suggestions more useful, whereas highly experienced experts (with 25–30 years of tenure) were the most critical and resistant.
• Competence Gap: Finally, the researchers conclude that MT is "still far" from being a threat to the profession. They argue that machines currently lack the "extra-linguistic knowledge" and "strategic competence" required to resolve semantic ambiguities and replicate the expert human's ability to create an "equivalent reading experience".</t>
  </si>
  <si>
    <t>• Statistical and neural MT systems: The two technological paradigms tested against the traditional method of translating from scratch.
• 'Conditioned': A term used to describe how machine suggestions limit a translator's freedom and creativity.
• Literal translation / 'Calques': Terms used to characterize the structurally rigid output of MT, particularly Statistical MT, which mimics the source language structure too closely.
• Fluent and adequate: The qualitative benchmarks where Neural Machine Translation (NMT) was found to be superior to the older statistical model.
• Sentential segmentation: Identified as a primary technical limitation that creates an "awkward" and fragmented work environment for literary professionals.
• Extra-linguistic knowledge / competence: A core human skill identified as necessary to resolve semantic ambiguities and create a high-quality literary work.
• Equivalent reading experience: The ultimate goal of a literary translator, which the authors conclude NMT is currently unable to replicate independently.
• 'Transference': A linguistic term used to describe the machine's act of merely replicating patterns from training data rather than performing true translation.
• Strategic competence: A specific professional skill (as defined by the PACTE group) that involves making high-level decisions, which remains a uniquely human advantage.
• Human parity: A term referring to claims that machines can match human quality, which the authors explicitly challenge in the context of the literary domain.
• Threat: Used to describe the status of MT; the study concludes that while "scary" to some, the technology is "still far" from replacing expert human translators.</t>
  </si>
  <si>
    <t>Lesznyák 2019</t>
  </si>
  <si>
    <t>Hungarian translators’ perceptions of neural machine translation in the European Commission</t>
  </si>
  <si>
    <t>IU5G3Y6L</t>
  </si>
  <si>
    <t>Ágnes Lesznyák
E-mail: agnes.lesznyak@ec.europa.eu</t>
  </si>
  <si>
    <t>European Commission Directorate-General for Translation</t>
  </si>
  <si>
    <t>Hungary</t>
  </si>
  <si>
    <t>To explore the views, work practices, and practical experiences of professional Hungarian translators regarding Neural Machine Translation (NMT) within the European Commission’s Directorate-General for Translation (DGT).</t>
  </si>
  <si>
    <t>2018/06</t>
  </si>
  <si>
    <t>Other: DGT’s Hungarian Language Department</t>
  </si>
  <si>
    <t xml:space="preserve">Translators working in DGT’s Hungarian Language Department </t>
  </si>
  <si>
    <t>1. The "Deceptive Fluency" and Quality Paradox
• Segment Length Correlation: Translators found a direct link between segment length and NMT quality. Short segments (under 30–40 words) are generally of high quality and only need revision, whereas long segments are often so poor they must be deleted and re-translated from scratch.
• Fluency vs. Accuracy: The two most critical issues identified were mistranslation and deceptive fluency. Translators reported being "deceived" by the linguistic smoothness of the Hungarian output, which can mask serious errors in word order, misplaced attributes, or the inversion of subject and object.
• Terminology and Proper Names: Translators noted a high risk in legal texts due to incorrect or inconsistent terminology. A unique recurring error in Hungarian NMT is the translation of proper names into "fictional words," which poses a significant risk for document clarity.
2. Integration into Work Practices
• The Rejection of "Post-Editing": Interestingly, many translators do not post-edit in the traditional sense. To avoid being misled by the machine's fluency, they instead insert "chunks" or re-type solutions into their own mental structures to maintain professional control.
• Reading Strategies: The majority of translators (42%) choose to read the source sentence first. They argue this prevents them from being "trapped" or influenced by a wrong MT rendering before they have formed their own understanding of the segment.
• Relevance to TMs: Translators prioritize consistency with previous legal bases. They often rely on "match rates" and only import NMT files if the retrieval from existing translation memories (TMs) is under 30% or 50%.
3. Professional and Psychological Impact
• Speed and Effort: Results regarding productivity were split; half reported that NMT speeds up their work and reduces typing effort, while the other half were unsure or felt it simply shifted the burden to the revision stage.
• Psychological Benefits: A quarter of participants found it reassuring to have a segment that was not blank, using the MT as a "source of inspiration" when tired.
• The "Creativity" Risk: Some translators complained that the tool was "killing creativity" by forcing them into a passive role of "cleaning up" text rather than actively creating it.
4. Impact on the Revision Phase
• Transparency: Nearly all revisers (35 out of 38) stated they could clearly recognize when NMT had been used, even if not signaled by the software.
• Increased Workload: Several reported that pre-revision translations have become of lower quality since the introduction of NMT, requiring more intervention and effort from revisers and sometimes leading to inter-collegial tension.</t>
  </si>
  <si>
    <t>1. Primacy of Human Factors
A central conclusion is that human factors play a crucial role in how technology is successfully applied. The study argues that to understand the adoption of NMT, researchers must pay greater attention to translators' attitudes, agency, and cognitive processes rather than just focusing on technical output or productivity metrics.
2. Control vs. Automation
The study concludes that translators have a strong professional need to remain "in control" of the final outcome.
• Translating instead of Post-editing: Because they view traditional post-editing (PE) as a high-risk activity that can "deceive" them with its fluency, many translators have developed working methods where they actively translate—using NMT only as a reference or source of "chunks"—rather than simply cleaning up the machine's output.
• Compensatory Strategies: These methods are designed to compensate for the unpredictable quality of NMT, which varies greatly from segment to segment and cannot be reliably predicted.
3. The Shift in Quality Risks
The research identifies a significant conclusion regarding the revision stage of the workflow:
• Pressure on Revisers: Because some translators use NMT as a "source of inspiration" or to speed up their work without thorough checking, some errors are filtering through to the final phase.
• Lower Pre-revision Quality: This has led to a perception among revisers that pre-revision translations are of lower quality than before NMT was introduced, requiring more effort and sometimes causing inter-collegial tension.
4. Psychological and Professional Awareness
Finally, the study concludes that the introduction of NMT has acted as a catalyst for professional reflection:
• Conflicting Views: The highly divergent and sometimes conflicting views among translators may not be new, but the need to adapt to a new tool has made existing differences in professional philosophy more apparent.
• Creativity and Motivation: There is an ongoing risk that NMT could drive translators into a passive role, potentially "killing creativity" and affecting long-term translation skills if not addressed through better quality management and motivation strategies.</t>
  </si>
  <si>
    <t>• Neural Machine Translation (NMT): The specific technological "translation aid" being evaluated throughout the study.
• Substitute for human translation: The conclusion explicitly states that despite its benefits, NMT is not a replacement for human expertise.
• Translate rather than post-edit: This phrase describes the primary compensatory strategy used by translators to maintain control over the final product.
• Unpredictable quality: Highlights the core challenge of NMT, where output varies "greatly from segment to segment" and cannot be reliably anticipated.
• Pressure on revisers: Refers to the increased workload and quality assurance risks that occur when uncorrected NMT errors filter through to the final phase of the workflow.
• Conflicting views: Used to describe the "wide range" of often contradictory opinions held by professionals regarding the tool's usefulness.
• Reflection on new circumstances: Suggests that the introduction of NMT has forced translators to become more aware of their own professional philosophies and methods.</t>
  </si>
  <si>
    <t>Ruffo 2024</t>
  </si>
  <si>
    <t>Literary translators and technology: SCOT as a proactive and flexible approach</t>
  </si>
  <si>
    <t>8E8MGZBW</t>
  </si>
  <si>
    <t>Paola Ruffo
E-mail: Paola.Ruffo@UGent.be</t>
  </si>
  <si>
    <t xml:space="preserve">To report on the use of the Social Construction of Technology (SCOT) framework to analyze a questionnaire study involving 150 literary translators. </t>
  </si>
  <si>
    <t xml:space="preserve">This study was part of a doctoral project funded by the Heriot-Watt University School of Social Sciences and supervised by Dr Marion Winters and Prof. Graham Turner. </t>
  </si>
  <si>
    <t>1. Usage and Attitudes: The Polarization of Tools
• High General Acceptance: 49% of respondents have positive attitudes toward technology, and 24% find it "helpful".
• The Specific Divide: Translators are highly supportive of "general technology" (word processors, online research, and networking tools) because these reinforce their self-image by saving time for "literary aspects" of their work.
• Rejection of MT and CAT: Conversely, translation-specific tools—Machine Translation (MT) and Computer-Aided Translation (CAT)—are viewed as "hindrances" or "intrusions". Respondents fear these tools discourage freedom, interfere with originality, and force their language to adapt to "machinist" restraints.
2. Professional Identity: The Human Persona
• Blurry Boundaries: Respondents offer a coherent picture of the profession where personal and professional traits overlap, using terms like "free," "highly creative," and "a bit of a loner".
• A "Labour of Love": The role is viewed as a "re-creative" pursuit driven by passion rather than profit. Notably, technology is entirely absent from how translators describe their own professional self-image.
3. The Perception Gap (Interpretative Flexibility)
• The "Outsider" Problem: 73% of respondents believe the general public and other translators misunderstand their work.
• Mechanical vs. Creative: Translators feel outsiders view their work as "simple words substitution" or "glorified data entry" rather than an art form.
• The Google Translate Myth: Technology enters the discourse primarily as a source of irritation, such as the frequent "Google Translate question" from outsiders, which translators feel devalues their expertise and leads to unrealistic deadlines and lower fees.
4. Divergent Priorities: Translators vs. Developers
• Technological Imposition: Translators perceive technology development as driven by the needs of "inventors" to turn a profit or by clients wanting to cut costs, rather than the needs of the professional translator.
• Sense of Threat: Because current tools are seen as an "imposition," the relationship is described as "undefined, messy, [and] threatening".
5. Identifying "Closure Mechanisms" (Proposed Solutions)
To resolve these controversies and reach a state of professional "stabilization," the study proposes three mechanisms:
• Convivial Tools: Developing tools that work with the human rather than instead of them, allowing the user to remain in complete control (inspired by Ivan Illich).
• Active Involvement: Moving translators from passive users to active participants in the research and development of translation technology.
• Specialized Training: Addressing the massive training gap (75% of respondents had no technology training) to build confidence and "minimize friction" with new tools.</t>
  </si>
  <si>
    <t>1. SCOT as a Proactive Research Tool
A primary methodological conclusion is that the SCOT framework is highly suitable for Translation and Interpreting Studies. The researcher concludes that adapting SCOT proactively—rather than just looking at past developments—allows for the identification of emerging power imbalances and "socio-political aspects" that might otherwise silence or exclude translators from the technological discourse.
2. The Duality of Technology: Bridge vs. Barrier
The study concludes that technology occupies two contradictory spaces in the literary translator's professional life:
• Bridging the Gap: Technology facilitates a sense of belonging and reinforces identity when it acts as an "assistant" (e.g., search engines, communication tools) that saves time for creative work.
• Widening the Gap: Technology acts as a barrier when it mimics the "mechanical" perceptions held by outsiders (e.g., MT and CAT), which translators feel devalues their expertise and treats their art as "glorified data entry".
3. Ownership is a Professional Essential
A fundamental conclusion is that literary translators' desire to feel in control of the translation process is a "non-negotiable" condition of their professional essence. The researchers conclude that tools perceived as "doing the writing" are rejected not out of technophobia, but because they interfere with the translator's role as a creative artist and "poet".
4. Proposed "Closure Mechanisms" for Stabilization
To resolve the identified controversies and reach a state of professional "stabilization," the study concludes that three specific closure mechanisms are required:
• Convivial Tools: Developing technology that values individual freedom and works with the human rather than as a substitute.
• Active Involvement: Moving translators from passive end-users to active participants in the research and development (R&amp;D) of translation tools.
• Specialized Training: Introducing technology training that specifically addresses literary needs, as current lack of knowledge is a primary driver of friction.
5. Balancing Material and Human Factors
The study concludes that the future of the profession depends on a "sustainable and fruitful collaboration" where material (technological) and human factors are balanced. This requires developers and publishers to acknowledge that materiality (the machine) must support the translator's self-imaging strategies rather than imposing a "technological fix" that prioritizes productivity over quality.</t>
  </si>
  <si>
    <t>• Social Construction of Technology (SCOT): The primary analytical framework used to investigate the link between how translators present themselves and their attitudes toward technology.
• Methodological flexibility: A term used to describe the "proactive" way the framework was adapted to prioritise the voices of literary translators.
• Self-imaging strategies: The personal and professional ways translators construct their identity, which the author concludes are intrinsically linked to their technological attitudes.
• Interpretative flexibility: A core SCOT concept used to describe the diverse and often contradictory ways different groups (translators vs. outsiders) confer meaning upon technology.
• Professional essence: Specifically defined as the translator's "non-negotiable" desire to feel in control of the translation process.
• Balance material and human factors: The necessary condition the author identifies for a "sustainable and fruitful collaboration" between the human professional and the machine.
• Closure mechanisms: The proposed solutions—specifically technology training and a collaborative approach—needed to resolve professional controversies and achieve "stabilisation".
• Materiality: A term used to describe the machine or technological artifact, which the author concludes should act as a "catalyst" for a new type of supported translator.
• New socio-technological paradigm: The current era of rapid technological change that requires translators to find a new professional positioning.
• 'Convivial' tools: Proposed technological designs that value individual freedom and allow the user to remain in control.
• Power imbalance: A term used to address the socio-political critique of the SCOT framework, highlighting the risk of silencing disadvantaged groups in technological innovation.</t>
  </si>
  <si>
    <t>Koponen 2020</t>
  </si>
  <si>
    <t>BQX7YUQS</t>
  </si>
  <si>
    <t>MT for Subtitling: Investigating professional translators’ user experience and feedback</t>
  </si>
  <si>
    <t>Maarit Koponen
E-mail: maarit.koponen@helsinki.fi</t>
  </si>
  <si>
    <t>Department of Digital Humanities, HELDIG, University of Helsinki, Finland</t>
  </si>
  <si>
    <t>To investigate the usability of machine translation (MT) and post-editing (PE) within the interlingual subtitling workflow, specifically from the perspective of the professional translators who use these tools.</t>
  </si>
  <si>
    <t>2019/11</t>
  </si>
  <si>
    <t>2020</t>
  </si>
  <si>
    <t>Other: Professional translators from the Finnish public broadcasting company</t>
  </si>
  <si>
    <t>Professional subtitle translators</t>
  </si>
  <si>
    <t>12</t>
  </si>
  <si>
    <t>1. User Experience Questionnaire (UEQ) Results
• Average Neutrality: On a scale of -3 to +3, the average scores for most adjective pairs fell within the neutral range (-0.8 to +0.8).
• Negative Outliers: The most negative reactions from participants described the process as "labourious" and "limiting" regarding their creativity.
• The Model Paradox: While automatic evaluation metrics (BLEU) indicated that document-level models were superior, translators in the manual assessment showed a slight preference for sentence-level output or saw no significant difference between the two.
2. The Critical Role of Spotting and Segmentation
The most significant barrier to a positive user experience was not the quality of the translation itself, but how the text was timed and divided on the screen:
• Poor Assessment: Automatic spotting (timing) and segmentation (how sentences are split into subtitle frames) were generally assessed as poor, particularly in the document-level models.
• Interview Feedback: All 12 participants commented negatively on these issues, noting that subtitles were frequently out of sync with the audio or that sentences were incorrectly split across frames.
• Impact on Effort: Participants noted that fixing off-sync subtitles often led them to make unnecessary linguistic changes, increasing their overall cognitive load.
3. Language Pair and Quality Variations
The results varied significantly depending on the language direction:
• English→Finnish: These translators were the most critical, evaluating nearly all aspects of the process negatively.
• Finnish→English: This group provided the most positive feedback, reaching positive averages for categories like "efficiency" and "ease of use".
• Quality Mentions: In interviews, translators made 30 negative mentions regarding MT quality (lexical errors, ungrammatical structures) but also 23 positive mentions, specifically praising the MT for providing useful terminology.
4. Productivity and Workflow Impact
• Efficiency Paradox: On average, MTPE was "slightly faster" than translating from scratch. However, 5 out of the 12 participants were actually slower when post-editing.
• Sentimental Divide: 55% of all statements made in interviews were negative. Many translators felt MTPE involved more effort than traditional translation and worried it could lead to a lower quality final product.
• Future Adoption: Only four participants said they would definitely consider using MT in their work; six were mixed, and two rejected the idea entirely.</t>
  </si>
  <si>
    <t>1. The Dominance of Technical Constraints
The researchers concluded that the quality of the translation output is secondary to the technical challenges of spotting and segmentation.
• The Segmentation Gap: Even when automatic metrics (like BLEU) showed that sophisticated document-level models were superior, translators found them harder to use because the timing and frame divisions were often poor.
• Forced Errors: Misaligned or off-sync subtitles were identified as a "major issue" that increased cognitive load, sometimes forcing translators to make unnecessary linguistic changes just to fit the technical constraints.
2. Emotional and Creative Impact
A key conclusion is that the experience of post-editing is often perceived as psychologically restrictive.
• Creative Limitation: Translators described the process as "limiting" and "annoying", expressing feelings of being "trapped by MT".
• Comparison to Literature: As seen in our conversation history with the Ruffo (2018) and Ruokonen and Salmi (2024) studies, this research confirms that even in highly technical fields like subtitling, professionals fear that automation "threatens the essence" and creativity of their work.
3. The Productivity Paradox
The study concluded that MTPE does not offer a guaranteed productivity boost.
• Inconsistent Gains: While MTPE was "slightly faster" on average, nearly half (5 out of 12) of the participants were actually slower when post-editing than when translating from scratch.
• Increased Effort: Many participants felt the process involved more effort than traditional translation, leading to a largely neutral-to-negative overall impression.
4. Language Pair Sensitivity
The researchers found that the success of MTPE is highly dependent on the language direction.
• English→Finnish translators were the most critical, evaluating nearly all aspects of the process negatively.
• Conversely, Finnish→English translators were the most positive, suggesting that MTPE may be more viable for certain linguistic combinations than others.
5. Future Outlook and Openness
Despite the technical frustrations, the study concluded that professional translators are not entirely "anti-technology".
• Conditional Adoption: Most participants (10 out of 12) were either open to using MT for specific content or were mixed/undecided.
• Terminology Support: Similar to the Prieto Ramos (2025) study in our history, translators identified terminology aid as the most valuable potential use for MT in their workflow.
• Need for Better Tools: The final conclusion emphasizes that current subtitling software is not designed for MTPE, and future success depends on better integration and improved automatic segmentation.</t>
  </si>
  <si>
    <t>• User evaluation: Refers to the overall assessment methodology used to study the professional translators' interactions with the technology.
• MTPE (Machine Translation Post-Editing): The core process being investigated, specifically for subtitle translation.
• User experience questionnaire: One of the primary data collection tools used to measure the translators' subjective impressions.
• Thematic analysis of interviews: The qualitative method used to extract deeper insights from the participants' detailed verbal feedback.
• Limiting and somewhat annoying: These are the specific characterisations used by the translators to describe their experience of the post-editing process.
• Segmentation and timing: Identified as the "major issues" that negatively impacted the workflow, alongside overall MT quality.
• Applicability of MTPE: Used in the context of the study's goal to determine if and how post-editing can be effectively integrated into professional subtitling.</t>
  </si>
  <si>
    <t>RivasGinel 2024</t>
  </si>
  <si>
    <t>QZ7YIZK5</t>
  </si>
  <si>
    <t xml:space="preserve">A year of ChatGPT: translators’ attitudes and degree of adoption </t>
  </si>
  <si>
    <t>To explore professional translators' attitudes toward ChatGPT and the extent to which this generative AI (genAI) tool has been incorporated into their daily workflows.</t>
  </si>
  <si>
    <t>1. Limited Degree of Adoption
Despite the high level of media hype, professional adoption is still in its early stages:
• Translation Usage: Only 13.5% of survey respondents reported using ChatGPT specifically for translation tasks.
• Workflow Integration: Only five individuals (out of 252) had fully integrated the tool into their professional translation workflow.
• User Frequency: While 58.7% had tried it at least once, 41% of respondents reported that they do not use it at all. Only 13% identified as "regular users".
2. Primary Tasks and "Inspiration"
The study found that translators use the tool more as a virtual assistant than a translator:
• Top Use Case: The most prevalent use for ChatGPT is for "inspiration" (53%), a practice where translators use the AI to brainstorm or overcome creative blocks.
• Administrative and Research Tasks: Other common uses include summarising and drafting emails (45%), rephrasing (41%), and looking up technical expressions (30%).
• Quality Gaps: Translators reported poor performance in actual translation tasks, particularly in creative or specialised contexts, where the output was often described as "shallow" or "politician-like".
3. The Source of "Automation Anxiety"
The study highlights a significant amount of "automation anxiety" (a term also discussed in our conversation history regarding the Kirov and Malamin and Tavares et al. studies), but with a specific nuance:
• Fear of Clients, Not Just Tools: Translators’ fears are often directed at human links in the chain (clients and agencies) rather than the technology itself.
• Economic Impact: The primary concern is that ChatGPT will be used by agencies as an excuse to lower prices or cut rates, rather than a fear of total job replacement.
• Online Sentiment: Corpus analysis showed a spike in fatalistic comments (using words like "dead" or "killing") in threads where the tool’s qualities were overtly praised.
4. Community and Platform Differences
The study mapped how attitudes shifted across different professional networks during the first year of ChatGPT:
• Peak Activity: Discussion peaked in May 2023, following an abundance of articles and news sharing.
• Platform Polarisation: Facebook groups tended to maintain a balance between enthusiasts and critics, whereas ProZ.com threads leaned toward more negative comments over time as the conversation became repetitive.
• KudoZ Controversy: A significant spike in negative sentiment occurred on ProZ.com in August 2023 following the platform's decision to include ChatGPT in KudoZ (a terms help network), which many professionals viewed with suspicion or as "cheating".
5. Demographic Trends in Adoption
• Age and Experience: Younger translators (aged 25–34) and those with fewer than 10 years of experience showed a slightly higher tendency to adopt and experiment with the tool compared to older, more seasoned professionals.
• Lack of Training: Only 17% of respondents had actively sought formal training or education in Large Language Models (LLMs), with most choosing to gather information independently regarding prompt engineering and data protection.</t>
  </si>
  <si>
    <t>1. Limited Adoption for Translation vs. Use for Inspiration
The researchers conclude that despite the ubiquitous presence of ChatGPT in professional discourse, only 13.5% of professionals reported using it for actual translation tasks. Instead, the tool has found a significant niche as a source of "inspiration" (31% of the total sample) to help overcome creative blocks, a finding that aligns with similar trends in how translators use Neural Machine Translation (NMT).
2. The Evolution of the "Virtual Assistant" Role
A primary conclusion is that translators are leveraging Large Language Models (LLMs) primarily as virtual assistants. They use the technology for a variety of non-translation tasks, such as:
• Drafting and improving professional emails and CVs.
• Developing search engine optimisation (SEO) strategies.
• Summarising texts and performing basic administrative research.
3. Anxiety Directed at "Human Links" rather than Technology
The study concludes that "automation anxiety" is widespread among translators, but it is not necessarily a fear of the technology itself. Instead, the fear is directed at clients and agencies who may use the existence of AI as a "justification for lowering rates" or cutting human language work, regardless of the tool's actual performance.
4. Emergence of Human-Centred AI
The researchers observe that the adoption of these tools involves a process of humans adapting to the tool. However, the study concludes that a dialogue is emerging between developers and professionals that reflects principles of "human-centred AI" and "augmented intelligence". This approach focuses on creating technologies that meet professional needs and enhance human effectiveness rather than seeking to replace it.
5. Baseline for Future Evolution
Finally, the authors conclude that their findings provide a baseline for future analysis. They suggest that while adoption is currently low, it is gradually increasing as the translation industry continues to explore the most effective ways to incorporate generative AI into its workflows.</t>
  </si>
  <si>
    <t>• Automation anxiety: Used to describe the significant impact and fear observed among translators, which the authors link to media hype and coverage in forums.
• Degree of adoption: A central term used to describe the "limited" but "gradually increasing" incorporation of ChatGPT into professional workflows.
• Inspiration: Identified as the primary way users are currently leveraging the large language model (LLM), which aligns with how some translators use NMT tools.
• Virtual assistant: Describes the secondary role of the LLM in helping translators with non-translation tasks such as drafting emails, amending SEO strategies, or proofreading.
• Human adapting to the tool: A concept describing the adoption process in the language service industry where professionals explore potential uses and adjust their habits to the technology.
• Human-centred AI: A principle emerging from the dialogue between developers and translators that advocates for creating user-centred technologies that meet professional needs.
• Augmented intelligence: Used alongside human-centred AI to describe an approach that focuses on enhancing human effectiveness rather than replacing it.
• Job security: The authors conclude that fears regarding security and financial compensation are often directed at human links in the chain—such as clients and agencies—rather than the technology itself.
• Baseline for future analyses: The authors define their data as a starting point for tracking the chronological evolution of genAI in translation.</t>
  </si>
  <si>
    <t>Literary translators in-between: An exploration of their self-imaging discourse and relationship to technology</t>
  </si>
  <si>
    <t>Paola Ruffo
E-mail: pr213@st-andrews.ac.uk</t>
  </si>
  <si>
    <t>Ghent University</t>
  </si>
  <si>
    <t>To explore the relationship between literary translators’ self-imaging strategies and their attitudes towards technology within the context of the increasing technologisation of the profession.</t>
  </si>
  <si>
    <t>Social media; Professional associations networks; Universities</t>
  </si>
  <si>
    <t>1. Professional and Academic Profile
• High Professionalism: 83% of respondents identified as professional literary translators, with 87% working as freelancers and 58% working part-time.
• Experience levels: The sample was balanced between early-career (27% with 1–5 years) and veteran translators (26% with over 20 years).
• Education: 63% held academic qualifications in translation, yet only 20% had received technology training as part of their degree.
• Geography: The study was European-centric, with 72% of respondents based in Europe and 24% specifically in the UK.
2. Professional Identity: "The Personal is Professional"
A core result of the study was the significant overlap between the translator's personal character and their professional role.
• Core Traits: Respondents identified writing skills (37%), creativity/artistic sensitivity (29%), and passion (21%) as the most essential traits of their profession.
• Artistic Metaphors: Translators frequently used metaphors of theatre and acting to describe their work, viewing themselves as performers who "impersonate" the authors they translate.
• Uniqueness: There was a universal emphasis on the "uniqueness and irreplaceability" of the human translator, viewing the craft as a "re-creative" occupation rather than a series of institutionalised achievements.
• The "Labour of Love": Economic capital was found to be secondary; only 6% mentioned pay as an essential trait, with many describing the profession as a "labour of love" where satisfaction outweighs "contemptible" remuneration.
3. The Perception Gap: "Glorified Photocopying"
The study revealed a stark contrast between how translators view themselves and how they believe the public views them:
• Misunderstanding: 73% of respondents believe outsiders view their profession differently than they do.
• Mechanical vs. Creative: 50% felt outsiders were "unaware and/or unappreciative," viewing translation as a "mechanical task" or "glorified photocopying" rather than a creative endeavour.
• Technological Assumptions: Translators reported that outsiders often assume they "just plug text into Google Translate" and tidy up the grammar, failing to grasp the talent required to carry a text across languages.
4. Attitudes Toward Technology
The results showed a clear divide between "generic" and "translation-specific" tools.
• Ambivalence: 24% of respondents demonstrated ambivalent attitudes—they find general technology (online dictionaries, search engines, word processors) vital as an "assistant" but view translation-specific tools (CAT and MT) with suspicion.
• Rejection of MT: Translators expressed the most negative attitudes toward Machine Translation (MT), which they viewed as an "intrusion" that removes individuality and creativity.
• Conceptual Antithesis: Perceptions of CAT and MT were often based on the idea that these tools are the antithesis of literary translation, threatening to cause "standardisation and systematisation" in a field that relies on subjectivity.
• Ownership: A fundamental result was that literary translators require a sense of "ownership" over their work; tools perceived as "doing the writing" were rejected because they create a barrier between the translator and the text.</t>
  </si>
  <si>
    <t>1. The "In-Between" Zone
The study’s central conclusion is that literary translators inhabit a complex "in-between zone" where they must constantly mediate between opposing forces. This includes:
• Identity Struggles: Balancing a high internal self-image (focused on artistry and talent) with a perceived low social status and a "misunderstood" public image (focused on mechanical tasks).
• Linguistic Duality: Existing "half-way" between the source author’s style/worldview and their own creative output.
• Technological Tension: Negotiating between tools that support their work (like search engines) and those that are perceived to threaten their creative agency (like MT).
2. Technology as an "Intrusion" vs. "Assistant"
The study concludes that literary translators do not reject all technology, but they do reject tools that threaten their professional ownership.
• Acceptable Tools: Technology is welcomed when it acts as an "assistant" for research, communication, or "mechanical tasks" like word processing.
• Unacceptable Tools: Translation-specific tools (CAT and MT) are often viewed as a "hindrance" or an "intrusion" because they create a barrier between the translator and the text, potentially "standardising" a process that relies on subjectivity and individuality.
3. The Safeguarding of Professional Status
The researchers conclude that the literary translator’s focus on abstract traits—such as passion, creativity, and "Geist" (spirit)—is a strategic way to safeguard their professional standing. By distancing themselves from "mechanical" technological narratives, they assert a unique, irreplaceable role that cannot be fulfilled by machines or "ordinary" professionals.
4. Ownership as a Non-Negotiable Core
A primary conclusion is that feeling ownership over the translation process is fundamental to the literary translator’s professional identity. Any technology perceived to be "doing the writing" is rejected because it interferes with the translator's role as a "re-creative" artist and performer.
5. Reducing "Friction" with Stakeholders
Ultimately, the study concludes that centering the voices of translators is necessary to minimise friction between practitioners and other stakeholders. By understanding which tools translators actually find useful (versus those seen as hindrances), developers and publishers can facilitate the creation of technologies that truly support the specific creative needs of the literary field rather than imposing mismatched workflows.</t>
  </si>
  <si>
    <t>• Multifaceted: The defining descriptor for the complex relationship between a translator's perception of their profession, the outside world, and technology.
• Intertwinement: A term used to emphasize how deeply a translator’s self-image is connected to their stance on technology.
• Socio-technological context: The broader environment that Ruffo argues must be studied to understand professional translation practice.
• Professional skills and needs: The specific attributes that a deeper understanding of translator perspectives can help identify.
• Hindrance: How certain technologies are currently perceived by literary translators, which prevents their integration into practice.
• Minimise friction: The ultimate goal of the research—to improve communication and reduce conflict between practitioners and other stakeholders.
• Stakeholders: Specifically identified as developers and publishers, who the author believes should work toward tools that truly support the creative process.</t>
  </si>
  <si>
    <t>Moorkens 2020</t>
  </si>
  <si>
    <t>EFPQLTVX</t>
  </si>
  <si>
    <t xml:space="preserve">Comparative satisfaction among freelance and directly-employed Irish-language translators </t>
  </si>
  <si>
    <t xml:space="preserve">Joss Moorkens 
E-mail: joss.moorkens@dcu.ie </t>
  </si>
  <si>
    <t xml:space="preserve">Dublin City University, Ireland </t>
  </si>
  <si>
    <t>To investigate and compare job satisfaction among government-accredited Irish-language translators working under different employment models</t>
  </si>
  <si>
    <t>2016/08/09</t>
  </si>
  <si>
    <t>2016/09/01</t>
  </si>
  <si>
    <t xml:space="preserve">This work was supported by the ADAPT SFI Research Centre at Dublin City University and the Department of Culture, Heritage and the Gaeltacht. ADAPT is funded by Science Foundation Ireland through the SFI Research Centres Programme and co-funded under the European Regional Development Fund (ERDF) through Grant 13/RC/2106. </t>
  </si>
  <si>
    <t>Accredited Irish language translators</t>
  </si>
  <si>
    <t>1. A Tiered Employment Market
The study concludes that there is a tiered employment market in translation based on working conditions.
• Freelance Vulnerability: Freelance participants’ perceptions of purpose, fairness, payment, and job security compare poorly to their full-time public service colleagues.
• Shared Pride: Despite these disparities, all translators, regardless of employment status, maintain a strong sense of pride in their work.
2. Technological Polarisation
Attitudes toward technology are sharply divided along employment lines:
• Public Service Optimism: These translators are generally well-disposed toward technology and the need for upskilling, viewing Machine Translation (MT) as a tool to leverage the small pool of accredited translators to meet high institutional demand.
• Freelance Anxiety: Freelance translators often feel threatened by technology, fearing that MT will replace human translators and expressing "powerlessness" over their work being used without permission to train MT engines.
3. Socio-Economic Threats to Sustainability
The researchers conclude that several factors are undermining the long-term sustainability of the profession:
• "Race to the Bottom": Freelancers are struggling with falling rates and an inability to negotiate collectively, leading some to accept low-paying jobs that damage the interests of the entire professional community.
• Quality and Talent Gaps: There is a pervasive fear of dropping translation quality and a "brain drain," where the best translation talent may move to Europe, leaving a shortage of high-level skills domestically.
• Attracting New Entrants: If the profession becomes too unappealing due to low morale, isolation, and poor compensation, it may fail to attract the new entrants needed to meet upcoming legal requirements for Irish translation.
4. Shifting Linguistic Context
The study concludes that the Irish language is in a state of transition; while it is declining in traditional Gaeltacht areas, it is experiencing a digital-age revival through social media and the "e-gaeltacht" among the urban middle class.</t>
  </si>
  <si>
    <t>• Minority-language translators: Describes the specific cohort of the study, noting the unique linguistic and political context of the Irish language.
• Employment models: Refers to the different categories of participants, including freelance, self-employed, public service, and directly-employed translators.
• Perceptions of purpose and fairness: Identifies the key satisfaction metrics—work purpose, fair payment, and procedural fairness—where freelance results compared poorly to public service results.
• Pride in work: A term used to describe a universal sentiment found across all categories of translators, regardless of their employment status.
• Falling rates: Highlights the economic pressure on freelancers, who report that pay is lower than in previous years and continues to drop.
• Politically legitimated human values: A concept used to argue that technical work like translation should be oriented toward human value rather than the "whims of profit-making organisations".
• Upskilling: Describes the requirement for public service translators to continually update their skills to handle technological advancements.
• Dilution of language variety and quality: A specific fear expressed regarding the use of Machine Translation (MT), which could lead to standardised and less rich linguistic output.
• Powerlessness: Used to characterise the feelings of freelance translators regarding their human translations being repurposed for MT training without their control.
• Lack of translation talent: Refers to the concern that there are not enough highly skilled individuals to meet the growing institutional demand for Irish translation.
• Lack of an audience: Notes the fear that much of the translated material may not actually be read by the public.
• Gaeltacht areas vs. Urban middle class: Describes the shifting demographics of the language, noting the ongoing decline of traditional Irish-speaking regions in contrast to growth among urban populations.
• 'e-gaeltacht' and Social media: Terms used to describe the digital revival and new visibility of the Irish language in the modern setting.</t>
  </si>
  <si>
    <t>Christensen 2024</t>
  </si>
  <si>
    <t>Psychological consequences of the digital transformation of the translation industry: an exploratory study of technostress among Danish certified translators</t>
  </si>
  <si>
    <t>2VVGJQKH</t>
  </si>
  <si>
    <t>Tina Paulsen Christensen
E-mail: tpc@cc.au.dk
ORCID: 0000-0003-4391-2539</t>
  </si>
  <si>
    <t>Aarhus University, Department of Communication and Culture;</t>
  </si>
  <si>
    <t>The aim of this study is twofold: to investigate the relationship between technostress and 1) translators’ professional translation experience and 2) translators’ adoption of new translation technologies</t>
  </si>
  <si>
    <t>2023/10/12</t>
  </si>
  <si>
    <t>2023/10/25</t>
  </si>
  <si>
    <t>Danish certified translators</t>
  </si>
  <si>
    <t>Prevalence and Types of Technostress
The study found that technostress is a significant issue within the Danish translation community, manifesting in several distinct ways:
• Techno-insecurity (Job Loss): This is the most profound concern, with 42% of respondents agreeing or strongly agreeing that they fear losing their job due to technology.
• Techno-complexity: Approximately 39% of translators feel they lack the time to upgrade their technological skills effectively.
• Techno-invasion and Overload: About 36% of participants feel forced to be available outside normal business hours (invasion) and feel pressured to work much faster and more often (overload).
• Techno-uncertainty: Roughly 27% of respondents experience stress due to the constant state of change and upgrades in the technologies they are asked to use.
Technology Adoption and Work Habits
The research highlights a translation industry that is heavily digitised, with CAT tools remaining the preferred technology.
• CAT Dominance: Only 8% of the participants never use a translation tool, while 86% use CAT tools to varying degrees.
• Machine Translation (MT): While CAT adoption is nearly universal, translators are more selective with MT. About 54% use the MT feature within CAT tools, but 94% never use generative AI (GAI) like ChatGPT for translation purposes.
• Work Environment: The vast majority (95%) work as independent business owners, often in online or hybrid environments, which may exacerbate feelings of technostress like techno-invasion.
Influence of Experience on Adoption and Stress
The researchers tested three primary assumptions regarding the relationship between a translator's professional history and their technological outlook:
• Experience vs. Adoption: The results suggest that less experienced translators are more likely to adopt technology, particularly browser-based MT (28.38% usage vs. 16.56% for experienced translators).
• Experience vs. Technostress: More experienced translators reported slightly higher levels of technostress than their less experienced counterparts, though the researchers noted the difference was small.
• Usage vs. Technostress: Translators who do not use specific technologies seem to experience higher levels of techno-insecurity. For instance, those who do not use CAT tools reported a higher fear of losing their job to automation (3.75 out of 5) compared to those who do (3.05).
Qualitative Insights: Economic Motives and Specialized Value
Through thematic analysis of the participants' comments, the study identified key concerns regarding the future of the profession:
• Economic Drivers: Translators expressed fear that decisions to use machines are being driven by economic motives and financial logic rather than linguistic quality.
• Specialised vs. "Lighter" Content: There is a common belief among respondents that while machines may handle "lighter" or everyday content, highly specialised fields like legal and financial translation will still require human experts. However, many worry that the availability of MT is already reducing the overall volume of work sent to professionals.</t>
  </si>
  <si>
    <t>The Reality of Technostress
The authors conclude that technostress is not a hypothetical risk but a widespread reality for Danish translators. The most prominent stressor is techno-insecurity, with a substantial number of professionals (42%) fearing that they will eventually lose their jobs to automation. Additionally, a significant portion of the workforce feels overwhelmed by the constant pressure to upgrade their skills and the invasion of work into their personal lives due to digital connectivity.
Experience as a Stress Factor
The study concludes that there is a generational or experiential divide in how technology is perceived and adopted.
• Adoption: Less experienced translators are more natural adopters of new tools, particularly machine translation.
• Stress Levels: More experienced translators—those who entered the profession before the digital age—tend to experience higher levels of techno-insecurity than their less experienced colleagues.
Adoption as a Mitigating Factor
A critical conclusion of the study is that using the technology reduces the stress associated with it. Translators who actively use specific tools like CAT software or machine translation reported lower levels of techno-insecurity than those who do not use them. This suggests that familiarity and regular engagement with tools help alleviate the fear of being replaced by them.
Economic Logic vs. Linguistic Quality
The research concludes that the fear of job loss is driven more by market dynamics than by the quality of machine output. Translators believe that decisions to use machines are being made based on economic motives and financial logic—choosing the cheaper, faster option even if it is linguistically inferior. While professionals still believe humans are indispensable for highly specialised fields (like the legal domain discussed in our previous conversations), they conclude that clients are increasingly handling "lighter" content in-house using automated tools.
Urgent Need for Prevention and Support
The overarching conclusion is that the translation industry must move toward psychological prevention and technostress management. The authors argue that because many translators work as freelancers in precarious or "platformised" environments, they are particularly vulnerable to the negative consequences of technology. To combat this, they recommend:
• Education and Training: Helping translators learn to accept and navigate the constantly evolving technological landscape.
• Support Systems: Implementing technostress "inhibitors" such as expert-led support and involvement in the technology-design process.
Ultimately, the study serves as a foundational call to shift the focus of translation research from purely linguistic or technical challenges toward the psychological impact and long-term well-being of the humans behind the work.</t>
  </si>
  <si>
    <t>• Technostress: The central concept of the study, defined as the negative psychological reaction resulting from using or adapting to new technologies.
• Techno-insecurity: A specific "technostress creator" referring to the fear of losing one's job to automation or feeling insecure about job performance due to technological shifts.
• Technological disruption: The current era of rapid change in the industry that necessitates a focus on translator well-being.
• Technostress prevention measures or inhibitors: Proposed strategies and mechanisms aimed at reducing or preventing the negative psychological impact of technology.
• Precarious working conditions: An industry characteristic that complicates the management of technostress, often linked to the rise of the platform economy.
• Platformisation: The shift toward digital labour platforms, which the authors conclude contributes to the vulnerability of translators.
• Freelancers: The specific demographic of translators for whom combating technostress is particularly difficult due to their independent working status.
• Negative psychological consequences: The potentially serious mental health outcomes of unaddressed technostress in the workplace.
• Constantly evolving technological landscapes: The environment that translators must learn to accept and navigate through support and education.
• Digital workplace: The modern professional setting where technology-induced change must be managed as a source of stress.</t>
  </si>
  <si>
    <t>Ruokonen 2024</t>
  </si>
  <si>
    <t>Finnish literary translators’ use of translation technology and tools: processes, profiles, and purposes</t>
  </si>
  <si>
    <t>Minna Ruokonen</t>
  </si>
  <si>
    <t>University of Eastern Finland</t>
  </si>
  <si>
    <t>To investigate the use of translation technology among literary translators who work with the Finnish language.</t>
  </si>
  <si>
    <t>2023/03</t>
  </si>
  <si>
    <t>2023/04</t>
  </si>
  <si>
    <t xml:space="preserve">Social media; Professional associations networks; Other: Incentive: two 50 euros book vouchers were raffled. </t>
  </si>
  <si>
    <t xml:space="preserve">This study was carried out as part of the project Narrative Text, Translator and Machine funded by the Research Council of Finland (decision number 350409). </t>
  </si>
  <si>
    <t>Literary translators with Finnish as a working language</t>
  </si>
  <si>
    <t>1. Frequency of Tool Usage
The survey established a clear hierarchy of tools used in the Finnish literary sector:
• Word Processing (Dominant): 90% of respondents use software like Word or Google Docs "Always," making it the near-universal environment for translation.
• Pen and Paper (Persistent): Despite the digital shift, over 70% of translators use pen and paper at least "sometimes" for making notes or creative problem-solving.
• Translation Technology (Niche): Specialized tools are rarely used:
    ◦ Translation Memory (TM): 83% reported "Never" using it.
    ◦ Terminology Management: 92% reported "Never" using it.
    ◦ Machine Translation (MT): 55.6% "Never" use it, while 31.9% use it "sometimes".
2. Three Types of Translation Processes
Based on interviews and survey descriptions, the researchers identified three distinct workflows:
• Translation "From Scratch": The most common method, where the translator writes directly into a word processor with the source text open as a PDF.
• TM Use: A hybrid approach where the translator produces a first draft in a TM environment to ensure nothing is overlooked, but exports the text to a word processor for final stylistic revision.
• MT Post-Editing: The rarest approach (represented by one interviewee), where the translator receives a pre-translated MT draft and refines it within a TM system.
3. Predictors of Technology Use (Profiles)
The study found that traditional demographic factors—such as age, gender, or years of experience—did not significantly impact whether a translator used specialized technology. Instead, two specific factors were decisive:
• Non-Literary Work: Translators who use TM or MT for non-literary assignments are statistically more likely to use them for literary projects.
• Technical Training: Those with formal training in translation technology are significantly more likely to use MT. Interestingly, those with specific training in literary translation were slightly less likely to use terminology tools.
4. Purposes for Specific Tools
• TM Software: Used for consistency (character names and world-building in sci-fi or fantasy), tracking progress, and ensuring no sentences are missed.
• Machine Translation: Primarily used for comprehension of difficult source passages or as a source of inspiration for individual segments.
• Glossaries: While 33 respondents create glossaries, they mostly use Word files, spreadsheets, or paper rather than specialized terminology software.
5. Collaborative Translation Patterns
About one-third of respondents have worked in collaboration, but their methods remain low-tech. The majority work independently and exchange Word files via email (n=23) rather than using shared TM environments, citing the ease of use and version control provided by standard documents.</t>
  </si>
  <si>
    <t>1. Universal Standard vs. Specialized Niche
The study concludes that word processing software is the undisputed "universal environment" for literary translation. In contrast:
• Translation Memory (TM) technology is used by a very small group (n=12), mainly for initial drafting and quality checks, but nearly all users export their work to Word for final stylistic refinement.
• Machine Translation (MT) is rarely used for full-text drafting; instead, it serves as a narrow tool for comprehension of difficult passages or as a spark for creative inspiration.
2. The "Cross-Over" Driver
A key conclusion is that technology adoption in the literary field is not driven by age or experience, but by professional habits:
• Translators are significantly more likely to use specialized tools if they already utilize them for non-literary translation.
• The researchers conclude that for many, learning these tools specifically for literary work is perceived as requiring "too much effort" if they are not already familiar with them.
3. Structural Barriers in Publishing
The researchers conclude that current publisher workflows effectively discourage the use of translation technology.
• Because publishers deliver source texts as PDF files and require final delivery in Word, using a CAT tool requires the translator to perform extra, unpaid work in file conversion and TM maintenance.
• Involving publishers in the development of workflows is identified as "crucial" for any future technological integration.
4. The "Genre Gap"
The study concludes that technology is perceived as more compatible with "popular fiction" (crime, fantasy, sci-fi) than with "quality fiction".
• Genres with elaborate world-building or repetitive terminology make TMs and terminology lists more useful.
• However, the authors warn that this could lead to a professional divide between "creative" quality fiction and "mechanical" popular fiction, which could impact the self-image of the translator.
5. Professional Agency and Creative Risk
Ultimately, the study concludes that the introduction of technology, specifically MT post-editing, poses a threat to translator agency.
• There are deep concerns that technology could make literary translation less creative or even replace the human professional.
• The authors emphasize that translators must have a say in how these practices develop to ensure that technology serves as a "sustainable" tool rather than a means for publishers to simply cut costs.</t>
  </si>
  <si>
    <t>• Word processing software: Confirmed as the "most common environment" and the "universal" tool for literary translation.
• Translation technology: A collective term used throughout the conclusion to refer to specialized tools like TM, terminology management, and MT.
• From scratch: Describes the primary translation approach where no specialized translation technology is used.
• TM software (Translation Memory): Identified as a marginal tool used by a small number of respondents, typically only for the drafting phase.
• MT post-editing: Described as "not very common," where a translator refines a machine-generated draft.
• Publishers’ workflows: Highlighted as a significant barrier to adoption because they currently rely on PDF and Word formats that do not encourage the use of CAT tools.
• Agency: Specifically "literary translators’ agency," referring to the right of translators to decide for what purposes technology is adopted in their field.
• Usability: Refers to the ease (or difficulty) of using current software for professionals who may lack formal technical training.
• Creativity: A core concern, with the conclusion noting fears that technology could make literary work "less creative".
• Self-image: Describes how the introduction of technology impacts the professional identity and "self-image" of the translator.
• Popular fiction vs. Quality fiction: A potential professional divide mentioned in the conclusion, where technology might be seen as suitable for "formulaic" genres but a threat to "quality" literature.</t>
  </si>
  <si>
    <t>Sakamoto 2024</t>
  </si>
  <si>
    <t>XEIXJALW</t>
  </si>
  <si>
    <t>Measuring translators’ quality of working life and their career motivation</t>
  </si>
  <si>
    <t>Akiko Sakamoto</t>
  </si>
  <si>
    <t>Kansai University</t>
  </si>
  <si>
    <t>To measure translators’ work satisfaction and motivation in the context of job digitalisation and automation.</t>
  </si>
  <si>
    <t>2023/03/21</t>
  </si>
  <si>
    <t>2023/04/18</t>
  </si>
  <si>
    <t>This research has received funding from the Japan Society for Promotion of Science (JSPS): Grant-in-Aid for Research Activity Start-up (Ref 22K20040)</t>
  </si>
  <si>
    <t>Members of the ITI (Institute of Translation and Interpreting)</t>
  </si>
  <si>
    <t>1. Identification of Seven Core Factors
The primary methodological result was the identification of seven psychometrically strong factors that define translator-specific work-related quality of life:
• (Professional) Commitment: The extent of a translator's commitment to the profession.
• Enjoyment: The level of joy derived from the task of translating.
• Technology-positive: Positive attitudes toward using translation technologies.
• Technology-negative: Negative attitudes toward translation technologies.
• MT-positive: Specifically positive attitudes toward Machine Translation (MT).
• Status: How much translators feel their work is valued by society.
• Success: The extent to which they perceive their career as successful.
Notably, the researchers found that monetary "push" factors (translating solely for income) did not materialise as a reliable standalone factor in this pilot, suggesting a need for further question refinement.
2. Translators and Technology
The study uncovered complex relationships between experience, career success, and technology:
• Success vs. Tech-Aversion: Translators who consider their careers successful are less likely to have a negative view of technology. However, a positive view of technology was not significantly linked to perceived career success.
• The Experience Gap: There is a weak but significant negative correlation between years of experience and positive attitudes toward technology and MT; more experienced translators tend to be more technology-averse.
• Impact of MTPE: Regardless of career length, those who perform a high volume of Machine Translation Post-Editing (MTPE) work tend to be significantly more positive about technology and MT specifically.
• Technological Dominance: While most respondents did not feel "dominated" by technology, those who did often held positive attitudes toward MT, suggesting they may be heavy users of the technology by choice.
3. Career Longevity and Intention to Stay
The results regarding future career plans were generally positive but highlighted specific stressors:
• High Retention Intent: 76% of respondents intend to remain in the profession for at least the next five years.
• Drivers of Longevity: Those planning to stay are typically those who enjoy translation and feel they have a successful career.
• Technology as a "Push" Factor: Translators with a negative attitude toward technology are significantly more likely to consider leaving the profession in the near future. Interestingly, a positive attitude toward MT did not significantly correlate with an intention to stay.
4. Overall Work Satisfaction
The study confirmed a high level of general satisfaction despite industry challenges:
• Satisfaction Levels: 70% of participants reported being satisfied with their working life as a translator.
• Intrinsic Motivation: Overall satisfaction is most strongly linked to intrinsic factors such as personal enjoyment and a sense of success.
• Professional Status: There is a significant correlation between work satisfaction and a translator's perception of their professional status, aligning with previous findings that feeling valued by society is critical to quality of life.
• Technology’s Minor Role: Curiously, while a negative view of technology decreases satisfaction, a positive attitude toward technology or MT has no significant impact on overall work satisfaction.
The authors conclude that while these results are preliminary and based on a small sample, they demonstrate that the Translator Work-Related Quality of Life (T-WRQoL) tool can successfully identify the causal relationships that will eventually help predict workforce sustainability.</t>
  </si>
  <si>
    <t>1. Validity of the T-WRQoL Survey Tool
The primary conclusion of this pilot study is that the T-WRQoL tool is a replicable and valid method for measuring translator satisfaction. The researchers successfully identified seven psychometrically strong factors—Professional Commitment, Enjoyment, Technology-positive, Technology-negative, MT-positive, Status, and Success—that provide a framework for understanding translator-specific work characteristics.
2. Intrinsic Motivation and the "Satisfaction Paradox"
The study concludes that overall work satisfaction is primarily driven by intrinsic factors rather than external or technological ones. Consistent with previous research, translators often report high levels of satisfaction because they enjoy the task of translating and feel a sense of personal success, even if they perceive their social status or working conditions as low.
3. Technology as a Factor for Leaving the Profession
A significant conclusion regarding workforce sustainability is that negative attitudes toward technology are a predictor of career attrition. Translators who hold a negative view of technology are more likely to leave the profession within the next five years. Conversely, those who consider their careers successful are less likely to hold negative views of technology.
4. Impact of Experience and MTPE on Attitudes
The researchers identified a divide in technological attitudes based on professional habits:
• The Experience Gap: There is a weak but notable trend where more experienced translators tend to be more technology- and MT-averse.
• Exposure through MTPE: Regardless of career length, translators who spend more time on Machine Translation Post-Editing (MTPE) tend to be significantly more positive about technology and MT specifically. This suggests that direct experience with these tools can mitigate negative perceptions.
5. Addressing the "Skills Drain"
The study concludes that the rapid, technology-led changes in the industry—such as "uberisation" and the rise of digital platforms—threaten the sustainability of the workforce by causing a "skills drain". To prevent this, the authors conclude that the industry must transition to human-centred work designs and recruitment policies that support a skilled and motivated workforce.
6. Future Forecasting and SEM
Ultimately, the study concludes that while this pilot provides a "snapshot," the final goal is to use Structural Equation Modelling (SEM) on a larger scale to identify causal relationships. This will allow researchers to forecast which groups of translators are most likely to stay in the profession and help employers design work environments that ensure a sustainable translator workforce.</t>
  </si>
  <si>
    <t>• T-WRQoL questionnaire: The name of the new survey tool (Translator Work-Related Quality of Life) currently under development to measure both general and translator-specific satisfaction.
• Replicable and valid method: The authors conclude that their primary contribution is providing a robust methodology that can narrow existing research gaps in translator satisfaction studies.
• Translator-specific factors: Refers to the unique characteristics of the translation profession—such as attitudes toward technology and professional status—that were measured in the second component of the survey.
• The Seven Factors: The specific psychometrically strong factors identified through factor analysis: Professional Commitment, Enjoyment, Technology-positive, Technology-negative, MT-positive, Status, and Success.
• Intention to stay in the profession: A future-facing metric used to understand workforce sustainability and forecast which translators are likely to remain in their careers.
• Structural Equation Modelling (SEM): The final-stage statistical methodology intended to identify causal relationships between worker profiles, technology attitudes, and quality of life.
• Worker groups: The different segments of the contemporary translation workforce that the authors aim to identify through biographical data in large-scale studies.
• Translator’s satisfaction paradox: The phenomenon where translators report high satisfaction with their work despite perceiving their social status and working conditions as low.
• Sustainable translator workforce: The ultimate goal of the research; the authors aim to propose best practices and recruitment policies to ensure the workforce remains skilled and satisfied in an era of automation.</t>
  </si>
  <si>
    <t>Vieira 2020</t>
  </si>
  <si>
    <t>Automation anxiety and translators</t>
  </si>
  <si>
    <t>4VYWHYMR</t>
  </si>
  <si>
    <t xml:space="preserve">To situate translators’ discourse on machine translation and its potential
economic reverberations within the context of broader work automation phenomena and empirical information on the translation profession. </t>
  </si>
  <si>
    <t>2017/08/11</t>
  </si>
  <si>
    <t>2017/08/13</t>
  </si>
  <si>
    <t>Translators who publish their views online</t>
  </si>
  <si>
    <t>1. Pay Grievances are Rooted in Business Practices, Not MT
A primary finding of the research is that Machine Translation (MT) is a secondary issue when translators discuss pay.
• Agency Pressure: The most frequent non-descriptive grievance regarding pay was downward pressure from agencies and clients. Translators expressed frustration that agencies shape sector models to suit their own business interests, driving rates down to "para-professional" levels.
• Billing Techniques: While technology does impact pay, the concern is often not with the tool itself but with how it is used for billing. Translators criticised "discount structures" where MT leverage is billed according to established repetition rates used for human-confirmed translation memories, which they deemed unreasonable.
• Mixed Economic Picture: National statistics and professional surveys do not corroborate a systematic downward trend in pay. While some sectors may experience falling rates, the study notes that for many, technology's downward effect on unit rates is often compensated by an increase in volume.
2. Criticism of MT Concerns Limitations, Not Competition
The study found that translators’ famously negative stance on MT is often misunderstood; most criticisms are rooted in the technology’s limitations and market consequences rather than a fear of being "replaced".
• Lack of Performance Anxiety: Most translators do not believe their professional skills compete with MT, noting that MT has significant errors and low quality. One participant noted they would only worry once computers start "writing great books".
• Low-Quality Exploitation: Negative attitudes are frequently directed at the low quality MT provides and how clients use it as a low-cost appeal to save money, rather than an intrinsic aversion to the technology itself.
• Contextual Awareness: Translators demonstrated a sophisticated understanding of MT's limits, such as its inability to distinguish between specific terms (e.g., "journal" vs "magazine") without well-known context.
3. Nature of Professional Online Discourse
The corpus analysis revealed that the majority of online discourse is actually descriptive or technical.
• Knowledge Sharing: The most frequent category of comments for both "rates" and "machine translation" involved offering and obtaining help, such as sharing knowledge on how to calculate quotes or discussing technical aspects of software.
• Keywords: "Rate", "software", "computer", and "technology" were the most prominent terms, indicating that economic and technological issues are similarly weighted in the professional consciousness.
4. Automation Risk and "Polanyi's Paradox"
The study contextualises these results within wider economic trends, such as the polarization of jobs.
• Medium-Risk Categorization: While some models estimate translation to be a "medium-risk" occupation for automation (38% probability), the study argues that translation's reliance on creative and social intelligence acts as a "bottleneck" to full automation.
• Complementary Tools: In most scenarios, technology assists rather than replaces translators. Tools like SDL Trados or memoQ allow translators to recycle fragments via translation memories but leave humans in charge of abstract decision-making and editing.
Ultimately, the study concludes that in the short to medium term, automation is not a danger to the profession. Instead, the real risk lies in the fragmentation of the translator's role if professionals abandon technical domains in a "mass exodus" toward more creative sectors like transcreation.</t>
  </si>
  <si>
    <t>1. Automation is not an immediate threat
The researcher concludes that in the short to medium term, automation is not a danger to the translation profession. This is because technology typically replaces specific repetitive tasks rather than entire occupations—a concept known as Polanyi’s paradox. In translation, tools like MT and translation memory (TM) serve to assist rather than replace human professionals, who remain essential for abstract decision-making and creative intelligence.
2. Misunderstanding of Translators' Stance on MT
A central conclusion is that translators’ famously negative attitude towards Machine Translation (MT) is frequently misunderstood. The analysis suggests that:
• Most criticisms are not rooted in a fear of being outperformed by machines; translators generally believe their professional skills do not compete with low-quality MT.
• Instead, hostility is directed at the technology’s limitations and the negative market consequences—such as the "low-cost appeal" that allows clients to use MT as a way to save money at the expense of quality.
3. Pay Grievances are Business-Driven
The sources conclude that MT is a secondary issue in translators’ complaints regarding pay. Most economic dissatisfaction is rooted in business practices, specifically:
• The downward pressure from agencies that shape the sector to suit their own business models.
• The "unreasonable" billing techniques where agencies apply discount structures intended for human-confirmed TMs to MT output.
• The researcher notes that national statistics do not show a systematic downward trend in pay, suggesting that for many, technology's impact on rates is compensated by an increase in work volume.
4. Warning Against Market Fragmentation
The study warns against a potential "mass exodus" of qualified translators from technical domains towards more creative sectors like transcreation. The author concludes that:
• Hierarchising services (viewing creative work as "superior" to technical work) may lead to a narrowing of the role of translation.
• Abandoning technical sectors could lead to de-professionalisation, where tasks are left to individuals with no translation training while the core linguistic work is fragmented.
5. Recommendation for a Broadened Professional Role
Ultimately, the study calls for a broadening of the translator’s role. The researcher argues that:
• Translators should be viewed as comprehensive communication professionals and consultants on cultural and technological issues, rather than just linguistic transcoders.
• The industry should move away from "dystopian discourses" and instead focus on open dialogue and business models that integrate the role of translators across all domains.
• In any debate regarding the future of the profession, MT cannot be decoupled from its economic effects and market reverberations.</t>
  </si>
  <si>
    <t>• Market reverberations and economic effects: The central conclusion that technology cannot be viewed in isolation; its impact is inextricably linked to how it affects pay and business models.
• Business practices: Identified as the primary source of translators' grievances regarding pay, rather than machine translation (MT) technology itself.
• Work automation phenomena: The broader context in which the study situates translation, specifically referencing the automation of middle-skilled clerical work and a shifting demand for cognitive labour.
• Alternative forms of management and ownership: A proposed area for future experimentation to alleviate pressure from clients and agencies on translation rates.
• Comprehensive communication professional: The recommended expanded role for translators, where they provide advice to end-clients on technology and cultural issues.
• Automation resistance of creative tasks: A concept from work automation literature used to explain why creative domains are less likely to be fully automated.
• De-professionalization: A warned-at consequence of an "exodus" of qualified translators from technical fields toward creative ones, which could lead to a narrowing of the concept of translation.
• Dystopian discourses: The term the author uses for overly pessimistic narratives about the future of translation, which he suggests should be approached with caution.
• Automation anxiety: The psychological state or industry sentiment the author seeks to address through open dialogue and the integration of translators across all domains.</t>
  </si>
  <si>
    <t>Vidrequin 2023</t>
  </si>
  <si>
    <t>Behind the scenes: Freelance Translators Use of Machine Translation in the Medical Field</t>
  </si>
  <si>
    <t>JI3DTUA8</t>
  </si>
  <si>
    <t>Magali Vidrequin
E-mail: vidrequin.magali@univ-rennes2.fr
ORCID: 0000−0002−7676−7377</t>
  </si>
  <si>
    <t>Université Rennes, France</t>
  </si>
  <si>
    <t>France</t>
  </si>
  <si>
    <t>To explore the attitudes and practices of medical translation professionals regarding machine translation (MT) and post-editing.</t>
  </si>
  <si>
    <t>Freelance translators in the medical field</t>
  </si>
  <si>
    <t>1. High Acceptance and Diverse Usage
• Widespread Adoption: The majority of participants (17 out of 21) accepted the use of MT to some extent, while only four expressed a complete refusal.
• Passive vs. Active Usage: The researcher identified two distinct types of usage:
    ◦ Passive usage: Post-editing performed for translation agencies where the translator has no direct control over the MT engine.
    ◦ Active usage: The autonomous use of MT engines by translators themselves, typically for direct clients or to increase personal productivity.
• Economic Impact: Among those who use it, MT is involved in an average of 55% of their total revenue, with three participants reporting that it now impacts 100% of their revenue.
2. Motivations for "Active" Use
• Productivity and Deadlines: Translators use MT to meet tight deadlines and remain competitive in the market.
• Ergonomics: A significant benefit cited was the reduction of manual typing on the keyboard.
• Translation Aid: Professionals use MT suggestions as an "aid" to find different linguistic proposals.
3. "Behind the Scenes" and Ethical Conflicts
• Prohibited Usage: A notable finding was that some translators (3 out of 10 active users) reported using MT even when their contracts or instructions from agencies explicitly prohibited it.
• Justification: These translators justified this practice by asserting that the final quality (after their post-editing) was equivalent to human translation and by using paid versions of MT software that guaranteed data confidentiality.
4. Technical Integration and Frustrations
• CAT Tool Synergy: Most active users integrate MT directly into their Computer-Assisted Translation (CAT) environments (such as Trados or MemoQ) using plugins for engines like DeepL or ModernMT.
• Punctuation and Formatting Issues: Translators expressed frustration over the lack of customization for punctuation (e.g., styles for quotes and apostrophes), which often requires time-consuming manual workarounds or "search and replace" operations at the end of a project.
• Inconsistencies: Frequent terminology and phraseology inconsistencies remain a major challenge, although those using adaptive MT engines (which learn from user feedback) reported fewer of these issues.
5. Factors for Refusal
• The small minority of translators who refused MT cited limitations on creativity and negative past experiences, such as being sent poor-quality MT output by agencies or receiving lower rates.</t>
  </si>
  <si>
    <t>1. Diversity of Professional Attitudes and Practices
The researcher concludes that there is a wide range of attitudes and practices regarding Machine Translation (MT) and post-editing (PE) among medical translators. While some professionals have fully embraced the technology—with MT involved in up to 100% of their revenue—others remain reluctant due to concerns over accuracy, quality, and the perceived limitation of human creativity. Consequently, the industry must recognize and address these diverse professional needs and preferences rather than applying a one-size-fits-all approach to workflows.
2. Critical Need for Ethical and Privacy Training
A significant conclusion of the study involves the professional ethics of MT usage. Because some translators reported using MT "activeley" even when explicitly prohibited by agency contracts, Vidrequin concludes there is an urgent need for ongoing education and training in best practices for data privacy and protection. This is particularly vital in the medical field, where data confidentiality and accuracy are of paramount importance.
3. Strategic Potential of Adaptive MT
The study concludes that adaptive MT engines (which incorporate user feedback over time) may represent a highly effective strategy for specialized translators. These tools appear to reduce the terminology and phraseology inconsistencies that otherwise cause frustration and wasted time during post-editing. However, the researcher notes that the effectiveness of these tools must be further studied across the diverse range of content and client types that freelancers serve.
4. Human-Centred Technological Development
Ultimately, the research suggests that the goal of technological progress should be to inform new strategies that improve both efficiency and quality responsibly. The author argues that technology should be viewed not just as a cost-saving measure for clients, but as a tool to better support the needs of translation professionals and ensure the high standards required for medical documentation.
5. Methodological Caution and Scope for Future Research
Vidrequin emphasizes that these findings are preliminary and not necessarily generalisable to all translation domains or populations. This is due to several factors:
• The small sample size and focus on French-speaking professionals.
• The specialized nature of the medical field, which may not reflect broader translation trends.
• The limited formal post-editing training among the participants, who averaged 17 years of experience and entered the field before such training was standard.
• The inherent subjectivity of semi-structured interviews.
Future research is recommended to evaluate post-editing in active use settings on medical documents to gain deeper insights into the practical implications for compliance and accuracy.</t>
  </si>
  <si>
    <t>• Range of attitudes and practices: Used to describe the diverse ways (both active and passive) that freelance translators engage with machine translation (MT) and post-editing (PE).
• Accuracy and quality: Identified as the primary concerns for those who expressed reluctance toward adopting the technology.
• Limitation of creativity: A specific concern cited by the minority of translators who refused to use MT.
• Ongoing education and training: The author concludes there is an urgent need for this, particularly regarding best practices.
• Data privacy and protection: Highlighted as a critical area where professional ethics and training must be improved, especially when MT is used against agency instructions.
• Adaptive MT engines: Suggested as a potential strategy for improving quality and reducing terminological and phraseological inconsistencies over time.
• Preliminary and non-generalisable: Terms used to describe the findings due to the study's small sample size and focus on a specialized field.
• Biases of subjectivity: Acknowledged as a limitation of the research methodology, which relied on individual perspectives and personal interpretations from interviews.
• Compliance: Identified as a paramount factor for the medical domain that needs to be further investigated in active use settings.
• Diverse needs and preferences: The author concludes that the industry must recognize these variations among professionals rather than imposing uniform workflows.</t>
  </si>
  <si>
    <t>DASSE 2025</t>
  </si>
  <si>
    <t>Forms of Death of Professional Human Translators in the Era of Machine Translation Technologies</t>
  </si>
  <si>
    <t>Q6EIJQE6</t>
  </si>
  <si>
    <t>Theodore DASSE
E-mail: theodore.dasse@univ-yaounde1.cm</t>
  </si>
  <si>
    <t>Department of Bilingual Studies, The University of Yaoundé I, Cameroon</t>
  </si>
  <si>
    <t>To argue that, metaphorically, professional human translators are "dead" due to the disruptive impact of advanced machine translation (MT) engines and artificial intelligence</t>
  </si>
  <si>
    <t>Other: TranslatorsDirectory.com</t>
  </si>
  <si>
    <t>Translators targeted irrespective of geography and gender, working in eight pairs of the following four languages: Portuguese, Spanish, French, and Italian</t>
  </si>
  <si>
    <t>The main results of the study are as follows:
1. Loss of Monopoly over the Act of ‘Translating’
The study found that translating is no longer the exclusive preserve of humans.
• Mechanical and Mental Transfer: MT has taken over both the mechanical task of typing and the mental tasks of meaning retrieval and transfer.
• Heavy Reliance: Data shows that 74.2% of respondents often use machine translation engines (MTEs) in their projects. Consequently, the researcher describes human translators as having transitioned from authors to mere "meaning checkers".
2. Loss of Monopoly over the Title ‘Translator’
Human translators have lost their exclusive right to the title "translator". While traditional dictionaries still define a translator as a "person," major tech companies like DeepL, Microsoft, and Yandex now label their software functionalities as "translators". In the AI era, the term no longer unequivocally refers to a human being.
3. Loss of Style and Voice
The study results indicate that translators are being deprived of their original authorial voice.
• Positive Appraisal of MT: 35.1% of respondents think highly of MT’s helpfulness, compared to only 7.3% who find it not helpful at all.
• Authorial Stripping: By relying on machine-authored text, translators become "straight-jacketed" by the machine's suggested structure, functioning as style and voice checkers rather than authors.
4. Loss of Identity and Autonomy
Translators are experiencing a "metamorphosis" into post-editors due to market pressure.
• Market-Induced Shift: 64.5% of respondents report receiving more machine translation post-editing (MTPE) requests since the arrival of AI tools.
• Diminishing Choice: This loss of autonomy is reflected in the fact that many feel compelled to accept MTPE tasks to survive, despite their preferences.
5. Loss of Prestige and Consideration
A significant majority (78.8%) of respondents report feeling less respected by society since the advent of MT.
• Devaluation of Skill: The results suggest that the "man in the street" now falsely believes any bilingual can translate using free tools.
• Disrespectful Practices: Translators report that clients increasingly view their input as "cosmetic" and frequently request the post-editing of tens of thousands of words in 24 hours for "trifling compensation".
6. Loss of Security
The study reveals a profound sense of panic regarding the future of the profession.
• The Post-Editor Future: 73.6% of respondents believe that the industry of tomorrow will need post-editors rather than human translators.
• Low Confidence: Only 12.4% of participants reported being "extremely confident" about the mid-term viability of the profession.
7. Loss of Opportunities and Income
Finally, the study found that MT has severely impacted the financial stability of the profession.
• Declining Opportunities: 72.4% of translators have witnessed a decline in both human translation and MTPE job opportunities.
• Client Substitution: 90.3% believe buyers are increasingly tempted to use AI instead of humans.
• Revenue Impact: 58.8% of respondents reported that their revenue has dropped since the advent of AI-powered MTEs.</t>
  </si>
  <si>
    <t>• The Scale of Professional Loss: The author concludes that the decline is so severe—ranging from 58.8% to 91.2% across various professional metrics—that the traditional human translator no longer exists as a sole master of their craft.
• The Seven "Forms of Death": The core conclusion is that translators have suffered seven distinct types of metaphorical death: the loss of monopoly over the act of translating, the loss of the title "translator," and the loss of style, voice, identity, prestige, security, and income.
• Transformation into "Meaning Checkers": Dasse concludes that humans have been stripped of their authorial agency and "straight-jacketed" by machine structures. Instead of being creators, they have metamorphosed into post-editors or mere "meaning checkers" who simply verify machine-authored text.
• Loss of Professional Identity: A significant conclusion is that the title "translator" is no longer the exclusive preserve of humans; because major tech companies now label their software as "translators," the term no longer unequivocally refers to a person.
• Devaluation and Disrespect: Much like the Swiss study we discussed earlier, Dasse concludes that there is a profound loss of prestige. Society and clients increasingly view the translator's input as "cosmetic" and believe that any bilingual individual can achieve similar results for free using AI.
• The "Remains" of the Profession: For those translators who still resist the integration of machine translation, the author concludes that they represent only the "remains" of the profession, standing against an unstoppable "tidal wave" of technology.
• Limited "Life" for Minority Languages: The study concludes that these findings are currently valid for mainstream, high-translatability language pairs (such as English into French, Spanish, or Italian) that have received the most AI investment. Translators working in languages unaffected by the "AI revolution" are described as "remaining alive" only until the technology eventually claims their pairs as well.
Ultimately, the research serves as a call for translation schools and professionals to urgently adjust to these shifts, as the era of the autonomous, high-prestige human translator has effectively come to an end in the mainstream market.</t>
  </si>
  <si>
    <t>• Metaphorically dead: The central term used to describe professional human translators due to the significant scale of losses (ranging from 58.8% to 91.2%) they have suffered.
• Seven types of losses: The categorisation of the specific "deaths" experienced by professionals, including the loss of monopoly over the act of ‘translating’, monopoly over the title ‘translator’, style and voice, identity and autonomy, prestige and consideration, security, and opportunities and income.
• The ‘remains’ of professional human translators: A metaphorical term for the small number of translators who continue to resist the "tidal wave" of machine translation engines (MTEs).
• Mainstream languages: The specific scope to which these findings apply—languages that have received the most financial investment from artificial intelligence firms.
• AI wave: A metaphor for the rapid technological shift that the author concludes will eventually "claim the lives" of translators in all language pairs as it expands beyond mainstream ones.
• AI-induced changes: The broad shifts in the industry that necessitate adaptation processes by professionals and adjustments to curricula by translation schools.
• Future scholarly inquiry: The term used to describe the recommended next steps for research, specifically focusing on how the industry and academia respond to these professional shifts.
• Brood parasitism: A biological metaphor used throughout the study (likening AI to a cuckoo bird) to describe how technology has pushed the human translator "out of the nest".</t>
  </si>
  <si>
    <t>Almasharqa 2025</t>
  </si>
  <si>
    <t>DQPKMTBF</t>
  </si>
  <si>
    <t>EXPLORING THE CHALLENGES ENCOUNTERED BY SAUDI TRANSLATORS IN UTILIZING ARTIFICIAL INTELLIGENCE FOR BUSINESS TRANSLATION</t>
  </si>
  <si>
    <t>Sari Mohammad Almasharqa; E-mail: sarimasharqa@gmail.com</t>
  </si>
  <si>
    <t>Former Lecturer, Dept. of English, Applied College, Balqarn, University of Bisha, Bisha, Saudi Arabia</t>
  </si>
  <si>
    <t>This research received grant no. (420/2024) from the Arab Observatory for Translation (an affiliate of ALECSO), which is supported by the Literature, Publishing &amp; Translation Commission in Saudi Arabia.</t>
  </si>
  <si>
    <t>Saudi translators specializing in business translation who have experience using AI-based translation tools.</t>
  </si>
  <si>
    <t>Uçar 2025</t>
  </si>
  <si>
    <t>Interactions of Institutional Translators with Digital Translation Tools</t>
  </si>
  <si>
    <t>7FTUMAFC</t>
  </si>
  <si>
    <t>Büşra Kurt Uçar
ORCID: 0000-0001-8285-9158</t>
  </si>
  <si>
    <t>İHSAN DOĞRAMACI BİLKENT ÜNİVERSİTESİ, Türkiye</t>
  </si>
  <si>
    <t xml:space="preserve">To illuminate and explore perceptions of institutional translators in 
Türkiye about digital translation tools as well as interactions between these human and non-human actors in light of actor-network theory (ANT) proposed by Callon, Latour and Law. </t>
  </si>
  <si>
    <t>Social media; Professional associations networks; Universities; Other: Government institutions</t>
  </si>
  <si>
    <t>Freelance translators, institutional translators and employers, project managers or translation bureau owners in Türkiye.</t>
  </si>
  <si>
    <t>1. High Adoption of AI and MT Tools
The survey revealed a significant integration of digital tools into the institutional workflow, with a notable surge in adoption since 2021:
• Widespread Use: Out of 29 participants, 21 use MT tools (e.g., Google Translate) and 16 use AI tools (e.g., ChatGPT).
• CAT Tool Usage: 13 participants use CAT tools (e.g., Trados), with many stating that their institutions or coordinators require their use for consistency and teamwork.
• The 2021 Surge: Most respondents started using CAT, MT, and AI tools between 2021 and 2025, suggesting that these technologies gained "agency" in the network primarily after recent improvements in neural machine translation and Generative AI.
2. Indispensability and Market Survival
A central finding was the consensus that these tools are an "obligatory passage point" for the profession:
• Inevitable Need: The statement that using digital tools is an "inevitable need" received a very high mean score of 4.64.
• Existential Requirement: Interviewees stated it is "absolutely not" possible to exist in the current translation market without these tools.
• Preference for Digital Work: Most participants expressed a strong desire to work only in environments where digital tools are provided, viewing those who don't use them as "torturing themselves".
3. The "Double-Edged Sword" of Efficiency
The study highlighted a contradiction where tools assist the translator but also worsen working conditions:
• Tighter Deadlines: There was overwhelming agreement (Mean=4.64) that the use of MT and AI causes clients and institutions to impose stricter deadlines, as they expect the technology to do the bulk of the work.
• Financial Advantage: Despite the pressure, translators believe these tools provide a competitive edge for generating more income.
4. Professional Identity and "Others' Perceptions"
The results showed a divide between how translators see themselves and how they believe society views them:
• Internal Confidence: Translators do not feel they have lost decision-making power (Mean=2.14) or responsibility for quality (Mean=2.42) when using AI or MT.
• External Devaluation: However, they believe that appreciation from employers has decreased (Mean=3.62) because "outsiders" often mistakenly believe the computer provides the entire translation "as a package" without human effort.
• Prestige: While 70% of participants still consider translation a prestigious profession, many are pessimistic about how AI will affect its reputation among the public in the future.
5. Future Outlook: Human Irreplaceability
• Survival of the Profession: There is a high level of agreement (Mean=3.82) that no AI or MT can completely replace human translation.
• Age-Based Optimism: Interestingly, while most variables (sex, income) showed no statistical difference, younger professionals (ages 18–25) were significantly more positive about the reputation of the profession in the AI era than their older colleagues (ages 46–50).</t>
  </si>
  <si>
    <t>1. Co-construction and Interdependence
The researchers conclude that in the modern digital age, human translators and digital tools can no longer be addressed as separate entities. Instead, they operate within a "co-constructed network" where they are intertwined and interdependent. Every translator studied had digital tools embedded in their occupational network, though the level of interaction varied.
2. Strategic "Submission" to Technology
A key conclusion is that while translators still define their own professional roles, these roles now require "submission to the necessity of using digital tools".
• Internalized Requirements: Translators generally accept this requirement without open complaint or resistance, viewing it as an internalised necessity for the job.
• Team Alliances: Within institutions, there is an expectation that colleagues will protect these "forged alliances" with technology to maintain collective efficiency and consistency.
3. The Efficiency vs. Appreciation Paradox
The study concludes that digital tools act as a "double-edged sword" regarding professional well-being:
• Individual Positivity: Tools are evaluated positively in individual networks because they assist with skills, competencies, and managing large-volume tasks.
• Social Negativity: Sentiment turns negative when considering broader networks involving employers or clients. This is primarily due to "tight deadline impositions" and a "reduced level of appreciation" from those who mistakenly believe the machine does all the work.
4. Expertise as a Defense Mechanism
To counter the "undesirable effects" of being associated with automated tools, the study concludes that translators rely on their "competencies and expertise" as a way to position themselves within the network. By maintaining high quality and accountability—which the researchers call an "obligatory passage point"—translators protect their authority and decision-making power even when using AI or MT.</t>
  </si>
  <si>
    <t>• Digital translation technologies / Technical actors: These terms are used interchangeably to describe non-human elements such as CAT tools, machine translation (MT), and artificial intelligence (AI).
• Social actors: Refers specifically to the human participants—the institutional translators—within the professional network.
• Actor-network theory (ANT): The primary theoretical framework used to investigate the interactions and interdependent relations between these human and non-human actors.
• Co-constructed network: A central term describing how translators and digital tools operate as intertwined, interconnected, and interdependent entities that cannot be effectively studied in isolation.
• Submission to necessity: Describes the professional reality where translators accept and align with the requirement to use digital tools as a matter of internalised professional survival.
• Forged alliances: Refers to the stable relationships built between translators and their tools, which translators expect their colleagues to protect and maintain for collective efficiency.
• Obligatory passage points (OPP): An ANT concept used to describe requirements (like the use of specific software) that must be met for an actor to remain relevant and functional within the network.
• Intermediaries: Factors such as payment, budget, skills, and teamwork that outline the relationship between actors and give shape to the social order.
• Love-hate relationship: A qualitative term used to summarize the ambivalent opinions of translators who value the efficiency of tools but resent the resulting "tight deadline impositions" and "reduced level of appreciation".
• Alignment or destabilisation: These terms describe the potential outcomes of the continual negotiation of roles within the digital environment.
• Heterogeneous network: Used to describe the diverse and complex nature of the professional landscape where human and non-human elements participate equally in social ordering.</t>
  </si>
  <si>
    <t>Beikian 2019</t>
  </si>
  <si>
    <t>A4JRPBMU</t>
  </si>
  <si>
    <t>Translation Technology Tools and Professional Translators’ Attitudes toward Them</t>
  </si>
  <si>
    <t>Ali Beikian
E-mail: a_beikian@yahoo.co.uk</t>
  </si>
  <si>
    <t>PhD Candidate, University of Isfahan, Isfahan, Iran</t>
  </si>
  <si>
    <t>The present two-phase study seeks to shed some light on what translation technology tools are and how professional translators feel toward them.</t>
  </si>
  <si>
    <t>34</t>
  </si>
  <si>
    <t>Other: ProZ.com quick polls</t>
  </si>
  <si>
    <t>ProZ.com members</t>
  </si>
  <si>
    <t>General Technology and Internet Reliance
• Positive Sentiment: A significant portion of respondents (29.30%) claim to "just love" technology, while 34.20% describe a "love-hate" relationship. Only 3.80% reported that they "just hate" it.
• Internet Necessity: The community is highly dependent on digital connectivity; 75.50% cannot imagine their life as a translator without the internet, and 81.40% work exclusively via the internet.
CAT Tool Impact
• Usage and Career: 65.6% of translators use CAT tools on a regular basis. 74% of respondents believe using these tools increases work opportunities, and 39.4% reported an increase in income due to their adoption.
• Productivity vs. Quality: While 46.5% are certain that CAT tools increase their translation output, the results regarding quality are more sceptical. A majority (56.2%) believe CAT tools do not necessarily improve the quality of translations.
• Ease of Learning: The study found that CAT tools are relatively accessible, with 36% of translators learning to use them in less than a week.
Machine Translation (MT) Perceptions The results regarding MT were more conservative compared to general technology or CAT tools:
• Usage: Over half (55.90%) of the respondents do not use MT.
• Job Security: Despite the rise of automation, 69% of respondents believe MT will never replace human translators, and 66% do not feel threatened by the technology.
• Professional Stance: MT is the only category where a plurality (42.80%) views the technology as a "foe" rather than a friend.</t>
  </si>
  <si>
    <t>The Root of Technological Friction
The authors conclude that the primary reason some translators, scholars, and clients "fail to get along" with translation technology is ill-informedness. They argue that many negative perceptions are rooted in a lack of understanding regarding the purposes, capabilities, and specific limitations of various tools. When these tools are misunderstood, clients may have unrealistic expectations for price and speed, while translators may view the technology with unnecessary hostility.
Positive Professional Sentiment
Contrary to the narrative that many translators "hate" technology, the study concludes that most professionals have a positive relationship with it.
• Adoption and Affect: Most translators either "love" technology or do not experience a "love-hate" relationship, using it to support the entire translation workflow from marketing to final delivery.
• Enabling, Not Replacing: The researchers concluded that translation tools are aids to human translators rather than replacements for them. They found that using technology often makes the translation process more enjoyable and fulfilling.
Strategic Professional Benefits
The study concludes that the integration of technology is essential for modern professional practice for several reasons:
• Meeting Market Demands: Technology allows translators to meet or exceed ever-growing client demands for speed and productivity.
• Handling Complexity: Tools like CAT software are vital for managing "thorny" or "fiddly" file types common in desktop publishing (DTP), localization, and audiovisual projects.
• Quality and Consistency: The use of Translation Memory (TM) and Quality Assurance (QA) tools helps professionals maintain consistency in terminology and style while catching common errors.
The Role of Machine Translation (MT)
Regarding the more controversial area of MT, the study concludes that even this technology can be viewed as an advantage:
• Market Expansion: Free online translation has enabled businesses to make more international connections, ultimately creating more potential customers for professional translators.
• Recognition of Human Value: Businesses that experiment with MT often quickly recognise its limitations, which reinforces the conclusion that human translation is necessary for critical business communications.
Ultimately, the study serves as a foundational call for further, more conclusive research to bridge the gap between technological advancement and professional uptake</t>
  </si>
  <si>
    <t>• Ill-informedness: Identified by the authors as the most significant reason why some translators and technology "do not always get along", referring specifically to a lack of knowledge regarding the nature and purposes of these tools.
• Exploratory study: The classification of the research, which aims to provide a starting point for more conclusive and detailed investigations in the future.
• Aids to human translators: A primary conclusion stating that technology tools are intended to assist professionals rather than replace them.
• Love-hate relationship: A phrase used to describe the emotional dynamic with technology; the study concludes that most translators either do not experience this conflict or simply "love" the technology.
• Clients’ ever-growing demands: The external market pressures that translators are able to meet, and even exceed, through the use of technology.
• Applications, capabilities, and limitations: The three areas regarding technology tools that the authors conclude must be understood to prevent professional friction.
• Enjoyable translation: A term used to describe the ideal professional state achieved when technology is used to facilitate and improve the quality of work.
• Translation studies researchers and scholars: The specific audience the authors hope to motivate to expand research into the technologisation of the craft.</t>
  </si>
  <si>
    <t>Bayee 2025</t>
  </si>
  <si>
    <t>Perspectives of Literary Translators on the Suitability of Automated Translation Tools for Rendering Aesthetic Texts</t>
  </si>
  <si>
    <t>AMW7VZTE</t>
  </si>
  <si>
    <t>Tanyitiku Enaka Agbor Bayee
E-mail: tanyitiku.enaka@ubuea.cm
E-mail: etanyitiku@gmail.com
ORCID: 0009-0005-9696-7500</t>
  </si>
  <si>
    <t>Advanced School of Translators and Interpreters
University of Buea, Cameroon</t>
  </si>
  <si>
    <t>To investigate the opinions and perspectives of professional literary translators regarding the suitability of automated translation tools for rendering aesthetic texts while maintaining the form of the original in the target language</t>
  </si>
  <si>
    <t>Trained professional translators who live in Cameroon and practice translation either as a freelance activity or as permanent employment</t>
  </si>
  <si>
    <t>Widespread Adoption vs. Negative Perception
• Near-Universal Usage: Almost all participants (98.5%) admitted to using machine translation tools for rendering aesthetic texts.
• Google Translate Dominance: Approximately 97% of the translators reported using Google Translate, primarily to create initial drafts or to get the "gist" of a text.
• Mixed Appraisal: Despite high usage, the community is deeply divided; only 40.8% of respondents held a positive view of the technology, while 46.3% held a negative opinion.
• Validation of Bias: The findings confirmed the researchers' initial hypothesis that literary translators hold a biased or sceptical opinion of machine translation, often viewing it as a "usurper" of their creative profession.
Quality and Effort
• Acceptability and Readability: Interestingly, 100% of those who use the tools confirmed that the resulting texts are "acceptable," and the output is generally considered understandable.
• Human vs. Machine Quality: Most respondents (61.8%) do not believe that automated translation produces higher language quality than a human translator.
• Reduced Physical Effort: Over half of the participants (51.5%) stated that using AT requires less effort than traditional translation methods.
• Post-Editing Habits: Usage is rarely "raw"; 89.7% of translators reported that they always or frequently revise every sentence one by one after using automated tools.
Impact on the Profession and Skills
• Digital Dependency: A significant majority (64.7%) expressed concern over the "digital dependency" of translators, fearing that newer professionals are not properly developing their cognitive abilities because they rely too heavily on automation.
• Professional Status: Despite fears of losing their livelihood, 51.5% of participants disagreed that machine translation has led to a loss of prestige for the profession, with many asserting that the human translator remains indispensable.
• Lack of Formal Training: A major gap in professional development was identified; while nearly everyone uses the tools, 64.2% of respondents have never received formal training on how to use them effectively.</t>
  </si>
  <si>
    <t>• Biased opinions: Refers to the "relatively noticeable degree of inconsistency" where almost all translators use AT tools but hold a negative or biased appraisal of them in their ratings.
• Autonomy and expertise: The core professional attributes that the authors conclude translators are unlikely to lose, provided they do not succumb to overdependence.
• Overdependence: A state of relying too heavily on automated tools, which the authors warn may prevent translators from properly developing their cognitive abilities.
• Cohesive style: A literary quality that is often missing in automated outputs, which instead produce fragmented results.
• Sentence salad: A metaphorical term used to describe machine-generated text that consists of sentences put together without contextual consistency or cohesion.
• Inconsistent: Describes automated output that fails to align contextually with the original aesthetic text.
• Cognitive abilities: The human mental processes and creative reasoning that translators must use to ensure a translation is not merely a "sentence salad".
• Professional mind-set: The necessary shift in attitude that translators must undergo to stay relevant in lucrative areas of the industry.
• Transparent: A term used to describe a major flaw in current technology, noting that it is often "not transparent" and subject to external influences.
• Power play and capitalist competition: The broader societal and economic forces that the authors conclude drive the development and implementation of translation technology.</t>
  </si>
  <si>
    <t>Farrell 2022</t>
  </si>
  <si>
    <t>PL8UDCZJ</t>
  </si>
  <si>
    <t>Do translators use machine translation and if so, how? Results of a 
survey held among professional translators</t>
  </si>
  <si>
    <t>Michael Farrell
E-mail: michael.farrell@iulm.it</t>
  </si>
  <si>
    <t>IULM University, Milan, Italy</t>
  </si>
  <si>
    <t>Italy</t>
  </si>
  <si>
    <t>To gain insight into the proportion of translators that use machine translation (MT) in their translation workflow and the various ways they do it.</t>
  </si>
  <si>
    <t>2022/07/12</t>
  </si>
  <si>
    <t>2022/10/21</t>
  </si>
  <si>
    <t>MT Usage and Adoption Rates
• Widespread Use: The study found that 69.54% of respondents use MT at some point in their translation workflow. This figure aligns closely with broader industry trends, such as the 2022 European Language Industry Survey.
• The Experience Paradox: One of the most significant results is that translators with more experience are less likely to accept MTPE assignments from clients (a statistically significant finding). However, these same veteran translators are equally likely as their younger colleagues to use MT voluntarily in their own translation processes.
• Resource Inequality: Translators working with lower-resource languages are less likely to accept MTPE jobs from clients, but they still use MT in their personal workflows at the same rate as those working with high-resource languages.
Beyond Post-Editing: The "How" of MT Use
A key finding is that professional translators rarely use MT in the way pioneers of the technology imagined (i.e., pure post-editing).
• Pure Post-Editing is Rare: When left to their own devices, only 18.57% of MT users always or usually perform "pure" post-editing (machine-translating an entire text and then editing it).
• MT as a Dictionary: 77.93% of users employ MT engines as if they were dictionaries, feeding in whole sentences or single words to see how they are handled in context.
• MT for Inspiration: A vast majority (86.21%) use MT for inspiration, and 86.40% use it for a "second opinion" when they are unhappy with their own initial translation.
• Overcoming "Blockage": Nearly 75% of users use MT to overcome "blockage," a state where equivalent allusions or expressions will not come to mind.
• CAT Integration: 53.07% of users enable MT functions within their CAT tools to repair fuzzy matches or for predictive typing.
Transparency and Professional Attitudes
• Lack of Disclosure: The vast majority of translators (91.51%) do not feel it is necessary to always inform their clients that they are using MT. In fact, 65.68% never tell their clients. Most see MT as "just another tool" in their arsenal that does not require special reporting.
• Reasons for Refusal: Among those who refuse MTPE assignments from clients, the primary reasons are low rates (44.62%) and a general refusal to do the work (48.21%). Qualitative comments described post-editing as "soul destroying" and noted that it often takes more time than translating from scratch.</t>
  </si>
  <si>
    <t>The Experience Paradox
The author concludes that professional experience is a decisive factor in how translators interact with the market, but not in how they use technology privately.
• Market Resistance: Translators with more experience are statistically significantly less likely to accept machine translation post-editing (MTPE) assignments from clients.
• Private Adoption: Despite this resistance to client-led MTPE, veteran translators are equally likely as their less experienced colleagues to use MT voluntarily as an aid in their own translation workflows.
The Failure of the "Pioneer" Vision
A primary conclusion is that the original vision of MT—where a machine produces a draft for a human to "polish"—does not reflect modern professional reality.
• Pure MTPE is Rare: Only 18.57% of MT users "always or usually" use the technology for pure post-editing.
• The Rise of Diversity: Instead, translators have developed a wide range of self-directed techniques, such as using MT engines as dictionaries, for inspiration, or through "hybrid post-editing" within CAT tools to repair fuzzy matches.
Normalization and Lack of Transparency
The study concludes that MT has become normalised as a standard tool in the translator's kit, leading to a significant lack of transparency with clients.
• Just Another Tool: The vast majority of users (91.51%) do not feel it is necessary to always inform clients about their MT use.
• Intentional Non-Disclosure: Over 65% of respondents never tell their clients they are using MT, viewing it as a personal resource similar to any other reference material.
Resource Levels and Task Acceptance
The researcher concludes that language resource richness affects professional choices. Translators working with lower-resource languages are less likely to accept MTPE jobs from clients (likely due to poorer output quality), yet they still use MT in their personal workflows at the same rate as those working with high-resource languages.
Independence from Professional Status
The study concludes that a translator's attitude towards using MT is independent of their working relationship. Whether a translator is a freelancer, an in-house employee, or a volunteer, their likelihood of using MT or accepting MTPE tasks remains largely the same. Similarly, the volume of translation work or the focus on a single language pair does not significantly influence these attitudes.</t>
  </si>
  <si>
    <t>• Proportion of translators that use MT: The primary metric the study aimed to establish regarding the adoption of technology within a professional translation workflow.
• MTPE assignments: Refers to Machine Translation Post-Editing tasks offered by clients; the conclusion notes that while more experienced translators often reject these, they still use MT for their own purposes.
• Lower-resource languages: Languages with fewer digital assets; the sources conclude that working with these languages makes a translator less likely to accept MTPE jobs.
• Left to their own devices: A phrase used to describe the autonomous choices translators make regarding technology when not constrained by client-dictated workflows.
• Pioneers of MT: Refers to the early visionaries of the technology who originally envisaged it being used almost exclusively for post-editing.
• Hybrid post-editing: A process concluded to be common among users, involving the simultaneous use of MT functions in CAT tools alongside translation memory matches.
• MT as a dictionary: A specific, popular usage where translators feed single words or expressions into an engine to find context-based equivalents.
• MT for inspiration: Using machine output to stimulate creative ideas or find alternative phrasing rather than as a draft to be corrected.
• MT for comic relief: An incidental use where translators enjoy the occasional "giggle" from entertaining or erroneous machine output.
• Transparency and disclosure: Refers to the practice of informing employers or clients about MT use; the sources conclude that the "vast majority" of translators (91.51%) do not believe this is always necessary.
• Just another tool: The concluding sentiment that translators view MT as a standard utility in their professional kit rather than a special technology requiring explicit mention.</t>
  </si>
  <si>
    <t>Ethical aspects; Other: MT acceptance and usage</t>
  </si>
  <si>
    <t>Ali 2025</t>
  </si>
  <si>
    <t>GD3UYJLG</t>
  </si>
  <si>
    <t>Libyan Translators’ Attitudes toward the Profession in the Era of Automation</t>
  </si>
  <si>
    <t>Naeimah Al Swuee Ali Ali</t>
  </si>
  <si>
    <t>University of Tripoli, Libya</t>
  </si>
  <si>
    <t>Libyan translators</t>
  </si>
  <si>
    <t>Jiménez-Crespo 2024</t>
  </si>
  <si>
    <t>Exploring professional translators’ attitudes towards control and autonomy in the human-centred AI era: quantitative results from a survey study</t>
  </si>
  <si>
    <t>GCIGRPGU</t>
  </si>
  <si>
    <t>Miguel Angel Jiménez Crespo
E-mail: jimenez.miguel@rutgers.edu
ORCID: 0000-0002-4938-3095</t>
  </si>
  <si>
    <t>Rutgers University</t>
  </si>
  <si>
    <t>This paper investigates the following research questions: 
RQ1: What kind of translation tools are used by respondents and how do they rate their command of translation technologies?
RQ2: What levels of “perceived control” do professional translators have over existing translation technologies that they use?
RQ3: What levels of “autonomy” do professional translators have when working with translation technologies today?
RQ4: Are there any correlations between the different data points [age, years working with translation technology, freelance vs. in-house translator, command of translation technologies, etc.] and attitudes towards AI, and perceived “control” and “autonomy”?
RQ5: What levels of control do respondents expect to have over translation technologies in the coming AI era? Where will the locus of control lie, with humans or machines?</t>
  </si>
  <si>
    <t>2024/05/25</t>
  </si>
  <si>
    <t>Full-time translators in the USA with more than two years of experience</t>
  </si>
  <si>
    <t>Current Perception of Command and Technology Use
• Technological Preferences: Participants primarily use terminology databases (61.44%) and translation memory (61.3%), followed by quality assurance tools and neural machine translation (NMT).
• Adoption of Generative AI: Despite significant industry hype, only 35.47% of respondents have integrated LLMs like ChatGPT into their workflows, a figure that the sources note aligns closely with other large-scale studies.
• Self-Rated Expertise: Translators rated their overall command of translation technologies at 66.42%, suggesting they feel competent but see room for further professional development.
High Current Levels of Control and Autonomy
The sources report that professionals currently feel a strong sense of agency over their tools.
• Overall Agency: Perceived levels of overall control (76.08%) and professional autonomy (73.17%) were generally high.
• Internal Control (The "On/Off" Switch): The highest rating was for internal control (81.35%), which refers to a translator's ability to decide when to activate or deactivate specific technologies based on content type, task complexity, or even the time of day.
• Imposed Technology: Reported levels of forced technology use by external agents were medium, averaging 48.09%. Notably, 0% of respondents reported being forced by clients or LSPs to use generative AI or LLMs at this stage.
The Future "AI Era": A Dramatic Shift in Outlook
The results reveal a stark contrast between current feelings of agency and future expectations.
• Declining Sense of Agency: When asked to imagine a future powered by AI integrations, expectations of control declined dramatically to 47.17%.
• The "Human Threat" vs. the "Machine Threat": A pivotal finding is that this expected loss of control is not attributed to the technology itself. Instead, the locus of control in the future is expected to lie with other human agents (73.44%), specifically developers and Big Tech (26.5%), followed by LSPs, clients, and project managers.
• Perception of Algorithms: In contrast to the fear of "the machine," only 6.12% of responses identified algorithms or machines as the future locus of control.
The Influence of Professional Experience
The sources highlight that years of experience significantly influence a translator’s technological outlook.
• Competence and Command: There is a weak positive correlation suggesting that more experienced translators report higher levels of technological command.
• Resilience to Imposition: More experienced translators are statistically less likely to feel that technologies are forced upon them by external agents.
• Future Optimism: Interestingly, those with more years in the profession reported higher expected levels of future control in the AI era compared to their less experienced colleagues.
These results suggest that while the industry faces a potential rise in "digital Taylorism"—where human agents use technology to over-optimise workflows—experienced professionals maintain a more robust sense of internal locus of control. This directly links to the conclusions we discussed earlier regarding the importance of HCAI paradigms that augment rather than replace human cognitive processes.</t>
  </si>
  <si>
    <t>1. The "Control Gap" Between Present and Future
A primary conclusion is the existence of a sharp divide between current professional reality and future expectations. Translators currently report high levels of perceived control (76.08%) and autonomy (73.17%), especially regarding their internal "locus of control"—the ability to decide when to use or "turn off" specific tools based on the task or their own cognitive load. However, looking toward the near future, these expectations of control "declined dramatically" to 47.17%. This shift is partly attributed to the psychological tendency to perceive lower levels of control over newer, less familiar technologies.
2. The Threat is Human, Not Algorithmic
A pivotal conclusion of the study is that translators do not view AI or algorithms as the primary source of their future loss of agency. Instead, 73.44% of participants attribute the future locus of control to other human agents in the ecosystem, such as developers, Big Tech companies, Language Service Providers (LSPs), and clients. The study suggests that the perceived threat is not automation itself, but rather "digital Taylorism"—a scenario where other human actors use technology to over-optimise workflows and impose restrictive conditions on the translator.
3. Experience as a Buffer Against Imposition
The research concludes that professional experience is a significant factor in how translators navigate technological change. The data shows that a higher number of years in the profession correlates with:
• Higher reported levels of technological command.
• A stronger sense of current perceived control.
• Lower levels of imposition, meaning experienced translators feel less "forced" by clients or LSPs to use specific technologies.
• A more optimistic (or resilient) outlook regarding future control in the AI era.
4. The Necessity of Human-Centred AI (HCAI)
The author concludes that to ensure the successful adoption of new tools and avoid professional resistance, the industry must shift toward human-centred AI paradigms. For technology to be "augmented" rather than reductive, it must be developed with the involvement of actual users, allowing for full individualisation and user control. The study highlights that maintaining human control is not just a professional preference but a requirement for job satisfaction and mental well-being, as feeling "out of control" in a technological environment is linked to increased stress, anxiety, and hostility.
5. Current Low Adoption vs. High Industry Hype
Finally, the study concludes that actual professional practice is currently trailing behind the "meteoric rise" of AI hype. Despite the prevalence of AI in industry discourse, 0% of respondents reported being forced to use generative AI or Large Language Models (LLMs) by their clients at the time of the survey, and general use of these tools remains relatively low at approximately 35.47%. This suggests the profession is at an early, "pre-adoption" stage where identifying user needs is crucial for developing future tools that professionals will actually feel in command of.</t>
  </si>
  <si>
    <t>• Control and Autonomy: The two primary conceptual pillars of the study; the conclusion notes that professionals currently report high levels of both (M = 76.08 and M = 73.13 respectively).
• Resistance to adoption: The negative professional reaction that the author concludes can be mitigated if technologies are controlled by actual users rather than imposed by external agents.
• Fully individualised: A characteristic of ideal AI-enhanced technologies that allows for easier professional adoption.
• Agency to turn on/off: A specific form of perceived control where translators decide when to use technology based on perceived cognitive load, task type, or content.
• Forced or imposed use: The degree to which technology is mandated by external players; the study concludes these levels are currently "medium" (M = 48.09).
• Future locus of control: The expected "place" where authority over the translation process will reside in the AI era; the author concludes that expectations for human control decline significantly (M = 47.17) looking forward.
• Sense of agency: A psychological state that professionals expect to lose in the future, not because of the machines themselves, but due to other human agents in the ecosystem.
• Other human agents: Specifically identified as developers, big tech, LSPs, and clients, who are concluded to be the primary perceived threat to professional autonomy.
• Economic players in the translation ecosystem: The broader group of stakeholders to whom translators attribute their expected future loss of control.
• Years of experience: A demographic variable that consistently correlates with higher levels of technological command, higher perceived control, and a more optimistic outlook on future control.
• Digital Taylorism: A term used to describe the over-optimisation of workflows by human agents, which the author concludes is a driving force behind current professional attitudes.
• Human-centred AI: The proposed framework for the industry that prioritises ethical and sustainable approaches.
• Translator-friendly technologies: The desired outcome of future research and development that puts translators at the centre of the process to reduce potential stress, anxiety, or hostility.</t>
  </si>
  <si>
    <t>Canavese 2024</t>
  </si>
  <si>
    <t>RAMKQRM7</t>
  </si>
  <si>
    <t>Translators’ perspectives on machine translation uses and impacts in 
the Swiss Confederation: Navigating technological change in an institutional setting</t>
  </si>
  <si>
    <t>Paolo Canavese 
E-mail: paolo.canavese@dcu.ie</t>
  </si>
  <si>
    <t xml:space="preserve">School of Applied Language and Intercultural Studies, Dublin City University, Dublin, Ireland </t>
  </si>
  <si>
    <t xml:space="preserve">To answer the following research questions:
RQ1: How widespread is the use of MT within the LS of the Swiss Confederation? 
RQ2: How do translators perceive the impact of MT on their work? </t>
  </si>
  <si>
    <t>Other: Language services of the Swiss Confederation</t>
  </si>
  <si>
    <t xml:space="preserve">Swiss National Science Foundation (SNSF) through the Postdoc.Mobility funding mechanism (grant number P500PH_217700). </t>
  </si>
  <si>
    <t>Translators working for language services of the Swiss Confederation</t>
  </si>
  <si>
    <t>MT Adoption and Usage Habits
The study found that technology is a central part of the Swiss federal language services (LS):
• High Usage Rates: Approximately 50.23% of respondents use MT daily, and another 22.33% use it a few times a week. This is significantly higher than adoption rates reported in broader European surveys.
• Integration with Tools: The most common scenario for using MT is direct integration within a CAT tool via a plug-in. It is primarily used to provide suggestions when no matches are found in the translation memory.
• Selective Use: Translators do not use MT systematically; they often reserve it for "throw-away" assignments or simple, non-technical genres to increase speed, while avoiding it for complex legislative acts.
• Autonomy: A key finding is that translators are largely free to use MT as they see fit, viewing it as an aid they decide when to employ, rather than a mandatory workflow.
Perceived Impacts on Work Processes and Quality
The results identified five macro-areas of impact, with negative perceptions generally outweighing positive ones:
• Efficiency vs. Pressure: While many see MT as a useful aid that increases efficiency and productivity, there is a corresponding fear of increased time pressure and volumes.
• Linguistic Impoverishment: Respondents expressed significant concern that MT leads to poorer quality and stylistic impoverishment. They fear "post-editese"—a standardized, artificial language with a less varied vocabulary.
• Cognitive Fatigue: Using MT is perceived as a barrier to creativity, often "imprisoning" the translator within the machine's suggested structure. It is also associated with increased fatigue due to the high concentration required to spot elegant but incorrect MT errors.
Institutional and Professional Status
A unique result of this study concerns the "micro-organisational" impact of MT within the Swiss government:
• Devaluation of Expertise: Translators feel their role is being devalued by internal clients who use MT (like DeepL Pro) themselves and then ask for "simple proofreading," often without providing the source text.
• The "Bilingual Secretary" Percepton: There is a fear that translators are increasingly seen as "bilingual secretaries" whose only job is to fix the machine's major mistakes.
• Job Security: Perceptions of the future are "sombre," with concerns about staff decreases and the potential "death" of professional translation as humans are sidelined in the communication process.</t>
  </si>
  <si>
    <t>Centrality of Human Factors in Change Management
The authors conclude that successful "change management" within large institutions requires a focus on the individuals involved. To ensure that technology remains at the service of the translator—rather than the translator feeling they are "serving the system"—organisations must leverage positive views (such as efficiency gains) while actively mitigating negative perceptions related to cognitive fatigue and the loss of creativity.
Preservation of Translator Agency
A primary conclusion is that the professional translator must remain "in the driver's seat". The sources suggest that MT is most effective when translators have the autonomy to decide when to use it (e.g., for "throw-away" or simple texts) and when to rely on traditional methods for high-risk or complex legislative acts.
Distinction Between Technology and Organisational Use
The researchers conclude that many of the fears expressed by translators—such as increased time pressure and the devaluation of their roles—do not concern MT per se, but rather how it is integrated and perceived within the institutional network. Specifically:
• Client Education: There is a critical need to educate internal clients about MT's limitations to prevent the "devaluation" of translation and the perception of translators as mere "bilingual secretaries".
• Spirit of Partnership: Institutions must work to raise awareness among text authors about the added value human experts provide to strengthen a sense of professional partnership.
The Role of Training and Literacy
The study concludes that continuing professional development (CPD) is essential for providing translators with the competencies needed to use new technologies effectively. Training should focus not just on technical skills but on fostering a critical awareness and a new mindset that allows for a "reasoned" use of automation (cum grano salis).
Need for Collaborative Research
A final conclusion highlights the value of dialogue between academia and institutions. The authors suggest that the "coming together of translation and organisation studies" offers promising avenues for research, helping institutions keep pace with technological changes while fulfilling their mission to provide citizens with high-quality multilingual communication.
Ultimately, the study concludes that while MT usage is high and unavoidable, its impact on the profession will be defined by how well institutions manage the micro-level human factors and organizational structures that surround its use.</t>
  </si>
  <si>
    <t>• Change management (Macro and Micro): The overarching framework for how an organisation adapts to external developments; "macro" refers to institutional strategies and structures, while "micro" deals with human factors and individual transitions.
• Human factors: The central element in steering organisational change, which includes leveraging positive views and mitigating negative apprehensions to ensure individuals find meaning in their work.
• Institutional network: The broader environment where machine translation (MT) is integrated, often giving rise to challenges that do not concern "MT per se" but rather how it is viewed and used by non-translators.
• Continuing professional development: The concluded mechanism for providing translators with the necessary competences to successfully use new technologies.
• Critical awareness / MT literacy: The specific skill set that allows translators to develop a nuanced understanding of a tool's shortcomings.
• User involvement: The positive institutional practice of involving translators in the evaluation and procurement projects for new technologies.
• Spirit of partnership: The recommended relationship between translators and text authors, achieved through raising awareness of the added value translators bring to the institution.
• Dialogue between universities and institutions: A collaborative avenue concluded to be beneficial for both training and research-led change.
• Cross-fertilisation: The intersection of organisation studies and translation studies, which the authors conclude can help contextualise the micro-aspects of technological investigation within institutions.
• High-quality multilingual texts: The ultimate institutional mission that is supported by studying language technologies from an organisational perspective.</t>
  </si>
  <si>
    <t>Linguistic challenges; Training needs; Working conditions; Ethical aspects</t>
  </si>
  <si>
    <t>68WMFCMM</t>
  </si>
  <si>
    <t>New Zealand</t>
  </si>
  <si>
    <t>Netherlands</t>
  </si>
  <si>
    <t>Worldwide</t>
  </si>
  <si>
    <t>Ireland and UK</t>
  </si>
  <si>
    <t>Europe</t>
  </si>
  <si>
    <t>Iran</t>
  </si>
  <si>
    <t>Belgium and Netherlands</t>
  </si>
  <si>
    <t>Bulgaria</t>
  </si>
  <si>
    <t>Swiss Confederation</t>
  </si>
  <si>
    <t>Turkey</t>
  </si>
  <si>
    <t>Jordan</t>
  </si>
  <si>
    <t>South Africa</t>
  </si>
  <si>
    <t>Cameroon</t>
  </si>
  <si>
    <t>Russia</t>
  </si>
  <si>
    <t>Libya</t>
  </si>
  <si>
    <t>Lead author affiliation country</t>
  </si>
  <si>
    <t>Belgium</t>
  </si>
  <si>
    <t>Japan</t>
  </si>
  <si>
    <t>Type of study Interview</t>
  </si>
  <si>
    <t>Type of study Focus Group</t>
  </si>
  <si>
    <t>Type of study Other</t>
  </si>
  <si>
    <t>Focus groups</t>
  </si>
  <si>
    <t>Method of participation Online</t>
  </si>
  <si>
    <t>Method of participation Offline</t>
  </si>
  <si>
    <t>Publication Year</t>
  </si>
  <si>
    <t>Publication date</t>
  </si>
  <si>
    <t>Country in which the study was conducted</t>
  </si>
  <si>
    <t>Ethical Imperatives in AI-Powered Translation: Professional Perceptions and Operational Realities</t>
  </si>
  <si>
    <t>PINNE5S3</t>
  </si>
  <si>
    <t>Holi Ibrahim Holi
ORCID: 0000-0002-0608-6146</t>
  </si>
  <si>
    <t>University of Technology &amp; Applied Sciences (UTAS), Rustaq College of Education, Oman</t>
  </si>
  <si>
    <t>2025/07/04</t>
  </si>
  <si>
    <t>To uncover professional translators’ perceptions regarding the ethical challenges, issues, and considerations associated with using AI tools in their work, as well as the implications of these perceptions for their professional practices.</t>
  </si>
  <si>
    <t>Full-time Sudanese professional translators with substantial experience in the translation industry, based in the Gulf region—namely, Oman and the UAE.</t>
  </si>
  <si>
    <t>21</t>
  </si>
  <si>
    <t xml:space="preserve">1. Key Ethical Challenges and Perceived Risks
Data Vulnerability: The primary concern identified is the security of sensitive personal and corporate data (e.g., financial info, patents, medical records). Participants noted that many AI tools require uploading text to cloud servers, which increases the risk of unauthorized access and privacy breaches.
Non-consensual Training: A significant result is the fear that AI models may store submitted text for training purposes, effectively using a client's proprietary information to improve the AI without consent or encryption.
Legal Consequences: Translators expressed concern that mishandling data could lead to violations of strict international laws like GDPR and CCPA, resulting in severe legal and reputational damage.
Loss of Nuance and Bias: Participants highlighted that AI often struggles with figurative language, cultural nuances, and gender bias, making human ethical oversight essential to prevent "ideologically suspect" or inaccurate versions.
2. Adopted Strategies for Ethical Practice
The study documented several "coping and accommodation strategies" used by professionals to mitigate these risks:
Filtering and Anonymization: Translators frequently filter texts for personal data before uploading them or use pseudonymization techniques (replacing real names with placeholders).
Tool Selection: There is a clear preference for subscription-based, end-to-end encryption tools over free open-access platforms, which are viewed as insecure.
Offline and Local Solutions: To ensure maximum security for sensitive documents, many practitioners rely on offline translation software that runs locally rather than on the cloud.
Human-in-the-loop: The researchers found a consensus that manual review and human intervention remain a "must" to strike a balance between speed and cultural relevance.
3. Professional Accountability and Transparency
Client Communication: A major finding is the belief that translators must be transparent with clients about when AI is used and the specific security measures in place.
Informed Consent: Respondents emphasized that clients have a right to know the level of human intervention involved in reviewing and editing an AI-generated document.
4. Identified Training and Development Needs
AI Literacy: There is a "clear consensus" that translators need urgent training in data protection, bias detection, and understanding the technical limitations of AI systems.
Practical CPD: Participants advocated for Continuous Professional Development (CPD) that focuses on concrete examples and "sound practices" rather than just theoretical considerations.
Certification Standards: The study suggests that organizations like CIOL should mandate AI ethics modules in their certification processes to cover topics like GDPR compliance and cultural sensitivity in post-editing.
</t>
  </si>
  <si>
    <t>The Primacy of Confidentiality: The research concludes that maintaining confidentiality and securing personal data are the most critical ethical concerns for modern translators. The study identifies a "wealth of good practice" among experienced professionals—including the use of encryption, pseudonymization, and offline tools—which should be shared to establish industry-wide ethical standards.
Indispensability of Human Agency: A central conclusion is that human intervention remains a "must" to prevent erroneous, biased, or culturally irrelevant outputs. The researchers advocate for a "human-in-the-loop" paradigm where the skilled translator takes the lead, particularly when handling sensitive cultural nuances or ethical matters.
The Insecurity of Free Tools: The study draws a stark conclusion regarding the risks of open-access technology, advising practitioners to avoid most free AI tools because they lack the necessary security to protect sensitive corporate or personal data.
Need for Mandated AI Literacy: To address the "rapidly changing AI landscape," the authors conclude that professional bodies like the CIOL should mandate AI ethics modules in their certification processes
. These modules should cover specific practical areas such as GDPR compliance, bias detection, and cultural sensitivity in post-editing.
Policy and Liability Regulation: The study provides evidence that national governments—specifically Oman’s Ministry of Labour—must take steps to regulate AI-translator liability and establish clear codes of ethics to ensure AI development aligns with professional standards and human rights.
A Shift in Professional Identity: Ultimately, the study concludes that a deeper understanding of AI-related ethical concerns and codes of conduct will be "transformational". By embracing a hybrid model of human-AI collaboration while holding industry to account, translators can harness the benefits of automation without compromising their integrity or accountability.</t>
  </si>
  <si>
    <t xml:space="preserve">Confidentiality and security of information: These are identified as the "key principles of ethics codes" that translators must prioritize to protect sensitive personal and corporate data.
Personal data safe: A term used to describe the primary objective of using secure practices when employing AI-powered tools.
Rapidly changing AI landscape: This phrase characterizes the current professional environment where continuous training and professional development are deemed essential.
Human agency with AI as a collaborator: This term defines the recommended model for the profession, emphasizing that the human practitioner should take the lead while treating technology as a supportive partner.
AI translation tools ethically and purposefully: Used to describe the desired manner in which practitioners should navigate and utilize emerging technologies.
Regulate AI-translator liability: A specific policy recommendation directed at national authorities (such as Oman’s Ministry of Labour) to address the legal risks of automation.
Wealth of good practice: Refers to the existing strategies (like encryption and pseudonymization) used by experienced translators that should be shared across the industry.
Mandate AI ethics modules: The study’s recommendation for professional bodies like the CIOL to incorporate formal ethical training into their certification.
GDPR compliance, bias detection in NMT outputs, and cultural sensitivity in post-editing: These are the specific technical and ethical subjects proposed for future curriculum development.
Ethical and responsible use: A term used to describe the path forward for harnessing the "transformational benefits" of AI without compromising integrity.
</t>
  </si>
  <si>
    <t>Ethical aspects</t>
  </si>
  <si>
    <t>153</t>
  </si>
  <si>
    <t>2024/10/07</t>
  </si>
  <si>
    <t>40</t>
  </si>
  <si>
    <t>654 (Independent Language Professionals)</t>
  </si>
  <si>
    <t>2025/12/15</t>
  </si>
  <si>
    <t>51</t>
  </si>
  <si>
    <t>79</t>
  </si>
  <si>
    <t>2025/11</t>
  </si>
  <si>
    <t>381</t>
  </si>
  <si>
    <t>2022/07</t>
  </si>
  <si>
    <t>23 professional translators and 16 product managers</t>
  </si>
  <si>
    <t>2018/01</t>
  </si>
  <si>
    <t>80</t>
  </si>
  <si>
    <t>2022/12/19</t>
  </si>
  <si>
    <t>2022/06</t>
  </si>
  <si>
    <t>86</t>
  </si>
  <si>
    <t>2023/04/20</t>
  </si>
  <si>
    <t>106</t>
  </si>
  <si>
    <t>11</t>
  </si>
  <si>
    <t>2025/03/30</t>
  </si>
  <si>
    <t>2025/02/12</t>
  </si>
  <si>
    <t>505</t>
  </si>
  <si>
    <t>2025/07</t>
  </si>
  <si>
    <t>to explore the future of human translators in the era of Artificial Intelligence (AI) translation technologies. The research seeks to provide an in-depth examination of the evolving roles of translators and the specific challenges they face in adapting their skills to remain competitive.</t>
  </si>
  <si>
    <t>1. Future Outlook: Flourishing through Collaboration
The Dominance of AI: An overwhelming 97% of participants believe AI translation will continue to prevail and that new, more advanced applications will be developed in the future.
A Positive Trajectory: Despite the challenges, 93% of respondents envision their professional future "flourishing" specifically through a collaborative relationship with AI tools rather than being replaced by them.
Human as the Centrepiece: The findings suggest that translators will move toward consultative and advisory roles, acting as specialized experts in post-editing and quality assurance to ensure machine output aligns with human intent.
2. Critical Challenges and Fears
Identity and Autonomy: Nearly all participants (97%) expressed fears of losing their jobs to automation
. Furthermore, 93% reported concerns regarding the loss of professional identity, autonomy, and creative control when relying on AI datasets.
Technical and Ethical Barriers: Respondents highlighted significant difficulties in handling technical complexity (87%) and accessing comprehensive training resources (80%).
Erosion of Value: 90% of participants worry about the diminishing importance of traditional human skills and values in an industry focused on the speed of machine translation.
3. Indispensable Human Skills
The study identified specific areas where human expertise remains "indispensable" to remain competitive:
Cultural and Ethical Oversight: Human translators are vital for maintaining ethical standards, preventing biased or misleading AI output, and ensuring cultural relevance—nuances that machines often miss.
Linguistic Mastery: 97% of participants identified advanced linguistic competence and terminology database management as the most critical skills for the AI era.
The "Human Touch": Skills in creative adaptation, localization, and interpersonal collaboration with clients were cited as unique human contributions that AI cannot replicate.
4. Recommended Strategies for Adaptation
To overcome the "automation anxiety" documented in the results, the study highlights several adaptive strategies:
Continuous Education: 93% of participants emphasized the need for continuous technology training and professional development programs to bridge the gap between human expertise and AI capabilities.
Rigorous Quality Control: Implementing strict data privacy and rigorous quality assurance processes allows translators to reposition themselves as essential "quality controllers" within the automated workflow.</t>
  </si>
  <si>
    <t xml:space="preserve">The Necessity of Collaboration: The study concludes that the future of the profession lies in a "partnership" or "integrated partnership" between humans and machines. While 97% of participants believe AI will continue to prevail, 93% envision their professional future "flourishing" through this collaboration rather than through the total replacement of the human element.
Evolution of Professional Roles: The research concludes that traditional roles are shifting toward specialized expertise in post-editing, quality assurance, and data curation. Translators are expected to become "consultative and advisory" specialists who act as ethical guides, preventing biased or misleading AI output and handling the subjective human experiences that machines cannot grasp.
The "Human Advantage" in Culture and Ethics: A central conclusion is that AI struggles with ambiguity, cultural references, and idiomatic expressions, areas where human intervention remains vital for localization and accuracy. Translators remain essential for ensuring that texts resonate with target audiences and maintain narrative coherence in sensitive sectors like art and literature.
Strategy for Survival: To overcome "automation anxiety" and widespread fears regarding job security (reported by 97% of participants), the study concludes that practitioners must adopt research-driven practices and continuous technology training. By positioning themselves as "indispensable partners" and quality assurance controllers, human translators can maintain their professional identity and competitive edge.
</t>
  </si>
  <si>
    <t>Integrated partnership: This term describes the recommended "integrated partnership with AI" rather than a model of total replacement.
Collaboration: A central concept used to advocate for "collaboration between humans and AI" to improve both the quality and efficiency of translation.
Indispensable: Used to conclude that human translators remain "indispensable" or "essential," particularly for preserving nuances that machines cannot handle.
Cultural mediators, localization experts, and data curators: These are identified as the "new professional roles" emerging for human translators in the AI era.
Subjective human experiences: A term used to define the specific area where AI lacks capacity, necessitating human intervention.
Creativity and creative expression: Cited as unique human strengths that remain vital for effective cross-cultural communication.
Narrative coherence: A specific quality mentioned as being crucial in sectors like literature and art, where human oversight is required.
Research-driven practices: The proactive strategy recommended for translators to sustain their relevance and stay informed about linguistic developments.
Ethical standards / Ethical considerations: Terms used to emphasize the translator's ongoing responsibility to "uphold ethical standards" and address audience preferences.
Linguistic diversity and cultural appropriateness: These terms describe the goals of human expertise in maintaining the integrity of translation against the limitations of AI.
Dynamic relationship: Used to describe the evolving interaction between "human expertise and machine capabilities".</t>
  </si>
  <si>
    <t>110</t>
  </si>
  <si>
    <t>2022/04/12</t>
  </si>
  <si>
    <t>188</t>
  </si>
  <si>
    <t>2019/07/29</t>
  </si>
  <si>
    <t>2025/09</t>
  </si>
  <si>
    <t>50</t>
  </si>
  <si>
    <t>2024/12/20</t>
  </si>
  <si>
    <t>85</t>
  </si>
  <si>
    <t>2024/10</t>
  </si>
  <si>
    <t>17</t>
  </si>
  <si>
    <t>2018/12/18</t>
  </si>
  <si>
    <t>124</t>
  </si>
  <si>
    <t>1143</t>
  </si>
  <si>
    <t>2020/04/23</t>
  </si>
  <si>
    <t>2025/07/11</t>
  </si>
  <si>
    <t>229</t>
  </si>
  <si>
    <t>2025/07/02</t>
  </si>
  <si>
    <t>252</t>
  </si>
  <si>
    <t>2025/09/17</t>
  </si>
  <si>
    <t>03/2024</t>
  </si>
  <si>
    <t>2025/05/07</t>
  </si>
  <si>
    <t>2023/10/23</t>
  </si>
  <si>
    <t>2020/12/30</t>
  </si>
  <si>
    <t>4 + 50</t>
  </si>
  <si>
    <t>2023/07/09</t>
  </si>
  <si>
    <t>89 (survey) + 10 (interviews)</t>
  </si>
  <si>
    <t>367</t>
  </si>
  <si>
    <t>2019/08/14</t>
  </si>
  <si>
    <t>29</t>
  </si>
  <si>
    <t>8</t>
  </si>
  <si>
    <t>2022/08/11</t>
  </si>
  <si>
    <t>150</t>
  </si>
  <si>
    <t>2019</t>
  </si>
  <si>
    <t>474</t>
  </si>
  <si>
    <t>2022/12</t>
  </si>
  <si>
    <t>94</t>
  </si>
  <si>
    <t>2018/11</t>
  </si>
  <si>
    <t>2019/04/30</t>
  </si>
  <si>
    <t>2022/12/29</t>
  </si>
  <si>
    <t>2018/11/28</t>
  </si>
  <si>
    <t>38</t>
  </si>
  <si>
    <t>2023/12/27</t>
  </si>
  <si>
    <t>2020/10</t>
  </si>
  <si>
    <t>2024/02/29</t>
  </si>
  <si>
    <t>2020/02/25</t>
  </si>
  <si>
    <t>178</t>
  </si>
  <si>
    <t>2024/12/15</t>
  </si>
  <si>
    <t>82</t>
  </si>
  <si>
    <t>2024/04/25</t>
  </si>
  <si>
    <t>72 (survey) + 7 (interviews)</t>
  </si>
  <si>
    <t>2024/02/15</t>
  </si>
  <si>
    <t>390</t>
  </si>
  <si>
    <t>2018/11/29</t>
  </si>
  <si>
    <t>Other: Translators’ blog and forum postings</t>
  </si>
  <si>
    <t>2023/07</t>
  </si>
  <si>
    <t>2025/02/25</t>
  </si>
  <si>
    <t>330</t>
  </si>
  <si>
    <t>2025/03/31</t>
  </si>
  <si>
    <t>To explore the challenges encountered by Saudi translators when utilizing artificial intelligence (AI) specifically for business translation.</t>
  </si>
  <si>
    <t>1. Primary Linguistic and Terminological Hurdles
Terminology Accuracy: The highest-rated challenge identified by participants was the struggle of AI tools to maintain accuracy in business-specific terminology (M = 2.79).
Contextual and Cultural Gaps: AI tools frequently fail to grasp context-dependent meanings (M = 2.48) and the nuances of idiomatic business expressions.
Linguistic Disparity: Translators noted significant difficulties arising from the structural differences between Arabic and English, such as the handling of passive voices and nominalization, which English-centric AI models often misinterpret.
2. Technical and Functional Inconsistencies
Workflow Disruption: Technical issues, including formatting inconsistencies and the failure of AI to preserve specific business document layouts, were cited as significant barriers.
Lack of Transparency: Participants expressed concerns regarding the opacity of AI decision-making; tools do not provide explanations for their translation choices, making it difficult for professionals to verify accuracy effectively.
Reliability Concerns: Because of frequent errors in critical documents like contracts and reports, translators reported a lack of trust in AI-generated outputs for high-stakes business communication.
3. Human-AI Collaboration Dynamics
The Post-Editing Burden: Rather than reducing labor, the study found that the use of AI often increases the workload because the poor quality of initial machine drafts requires extensive human post-editing to ensure reliability and cultural appropriateness.
Augmentation vs. Replacement: The results indicate that AI functions as a supplementary tool rather than a standalone solution; it augments human performance but remains "not yet reliable for autonomous use".
4. Statistical Insights and Demographics
Universal Recognition of Challenges: Through ANOVA testing, the researchers found no significant differences in how translators perceived these challenges based on their education level (Bachelor’s, Master’s, or PhD). This suggests that AI limitations are universally recognized across all expertise levels in the Saudi market.
Interdependence of Issues: Correlation analysis revealed a significant positive relationship (r = 0.358) between technical flaws and collaboration difficulties. This means that as technical issues (like poor integration or algorithm updates) increase, the friction in human-AI collaboration also intensifies.</t>
  </si>
  <si>
    <t>Indispensability of Human Expertise: The findings underscore that human translators remain essential because AI frequently fails to grasp contextual and idiomatic nuances. Because business communication is deeply rooted in cultural norms and rhetorical conventions, AI-generated translations often lack the cultural sensitivity required for high-stakes Saudi contexts, such as contract translation and corporate negotiations.
The Post-Editing Burden: Rather than simply streamlining workflows, the use of AI often increases the translator's workload
. The study concludes that the poor quality of initial machine drafts necessitates extensive human intervention and rigorous post-editing to rectify errors and ensure the reliability of financial and legal documentation.
Linguistic and Structural Barriers: A primary conclusion is that AI struggles specifically with the English-Arabic language pair due to structural disparities and a reliance on English-centric training data
. This leads to frequent misinterpretations of business-specific terminology and economic discourse.
Universal Recognition of Challenges: Interestingly, the study concludes that these technological limitations are universally recognized across the profession regardless of expertise. Statistical analysis showed no significant differences in how translators with Bachelor’s, Master’s, or PhD degrees perceived the linguistic and technical hurdles of AI.
Technical and Collaborative Interdependence: The researchers found a significant correlation between technical flaws (such as inconsistent algorithms) and collaboration difficulties. This suggests that technical inadequacies directly exacerbate the friction in human-AI workflows, making it harder for professionals to trust the results.
A Hybrid Future: The study ultimately advocates for a hybrid approach that leverages AI’s speed while retaining strict human oversight for quality assurance. To support this, the authors conclude that Saudi translation programs must urgently integrate AI literacy and post-editing strategies into their curricula to prepare practitioners for this evolving "Human-Machine Era".</t>
  </si>
  <si>
    <t xml:space="preserve">Linguistic, cultural, and technical limitations: Used to describe the primary constraints that hinder the effectiveness of AI-driven tools in the Saudi business context.
Extensive human intervention: A term highlighting that the use of AI often increases rather than reduces the translator's workload due to the need for manual corrections.
Business-specific terminology: Identified as a primary area of struggle for AI, especially within the English-Arabic language pair.
Rigorous post-editing processes: Defined as the necessary step for translators to rectify errors and refine AI-generated outputs, which often diminishes the promised efficiency of automation.
Indispensable role of human expertise: A core conclusion emphasizing that human oversight remains vital for handling contextual and idiomatic nuances that AI cannot grasp.
Cultural sensitivity: Described as a requirement for effective communication in scenarios like contract translation and corporate negotiations, where AI models frequently fail to recognize rhetorical conventions.
Pedagogical challenges: Refers to the current gap in translation education, where many Saudi practitioners lack formal training in emerging technologies.
AI literacy: The specific set of skills (alongside post-editing strategies) that the authors recommend integrating into university curricula.
Opacity of AI decision-making: A technical term used to describe the "black box" nature of AI algorithms, which makes it difficult for professionals to verify accuracy.
Hybrid approach: The study’s final recommendation, which advocates for leveraging human expertise alongside technological advancements rather than relying on autonomous AI use.
Contextual learning capabilities: A specific area cited for future development to improve the reliability of AI models in the business sector.
</t>
  </si>
  <si>
    <t>2025/07/31</t>
  </si>
  <si>
    <t>32 (29 in the survey and 3 in the interviews)</t>
  </si>
  <si>
    <t>2019/03</t>
  </si>
  <si>
    <t>2025/07/01</t>
  </si>
  <si>
    <t>68</t>
  </si>
  <si>
    <t>2022/11</t>
  </si>
  <si>
    <t>452</t>
  </si>
  <si>
    <t>To explore Libyan translators’ attitudes toward the incorporation of artificial intelligence (AI) in the profession and to determine the influence of AI on their performance.</t>
  </si>
  <si>
    <t>35 online respondents + 3 interviewees</t>
  </si>
  <si>
    <t>1. Adoption and Usage Patterns
Widespread Trialing: 72.3% of respondents have tried using at least some AI-powered tools.
Tool Preferences: Participants utilize a range of technologies, including CAT tools (25.7%), MT tools (11.4%), and GenAI such as ChatGPT (11.4%). Specific software mentioned includes Wordfast, Reverso, and Google Translate.
Core Tasks: Technology is most commonly used for revision (40%), consistency checking (37.1%), and editing (17.1%).
2. Satisfaction and Perceived Benefits
High Efficiency Ratings: 54.3% of participants are completely satisfied with integrating GenAI into their workflows, primarily because it increases efficiency.
Productivity Gains: Respondents highlighted that AI tools save time and effort (22.9%) and accelerate the overall translation process (14.3%).
Overall Sentiment: When asked about general satisfaction with recent technological advancements, 60% of respondents reported being either "very satisfied" or "satisfied".
3. Market Impact and Employment Fears
The Employability Paradox: While 40% of respondents believe AI will not affect their livelihoods, a larger group (54.3%) is certain that AI will eventually have a negative impact on the translation market and job opportunities.
Fear of Integration: 42.9% of participants stated they are not afraid of integrating AI, while 31.4% expressed active concern.
Job Security: The analysis suggests that, for the time being, AI does not put translators' jobs at stake, though those who embrace technology are likely to replace those who reject it.
4. Identified Limitations of AI
Cultural and Contextual Struggles: Participants noted that AI output is often defective when handling idiomatic expressions, culture-specific terms, and specialized domains like politics.
Lack of Nuance: Interviewees expressed suspicion regarding AI's ability to accurately recognize humor, sarcasm, or emotional nuances.
The Need for Validation: A critical consensus among respondents is that all AI-generated content must be validated by humans to ensure quality and address socio-cultural contexts.
5. Future Career Outlook
New Professional Roles: 88.6% of respondents believe that emerging technological roles—such as localization, post-editing, and quality assurance—will be suitable career choices for Libyan translators.
Collaboration as the Future: The study concludes that the future of the profession lies in dynamic human-AI collaboration, where tools are used to automate repetitive tasks while humans focus on capturing creativity and polishing final drafts.</t>
  </si>
  <si>
    <t>1. General Openness and Trialing
The study concludes that there is an overall tendency for translators in Libya to be open toward using AI-powered tools. This is evidenced by the fact that 72.3% of the respondents have already tried using at least some AI-powered applications. While attitudes vary widely—ranging from highly satisfied to very concerned—the prevailing view is that AI is a potentially very useful aid in professional practice.
2. Transformation into Human-Machine Collaboration
A primary conclusion is that AI is not necessarily a replacement but a force transforming the translation industry. It is opening new avenues for practitioners by enhancing CAT tools and promoting more efficient human-machine collaboration. The researchers emphasize that the future of the profession lies in this dynamic partnership, where tools automate repetitive tasks while human intervention remains necessary for optimal results.
3. The "Human Advantage" and AI Limitations
The study concludes that human translators remain vital because of the significant limitations of current AI technology. AI tools are specifically noted for their deficiencies in handling culturally specific or domain-specific texts. Interviews with professionals highlighted that machines still struggle with:
Contextual nuances and political information.
Double and hidden meanings, jargon, and idiomatic expressions.
Emotional features such as humor or sarcasm.
Creative polishing and capturing the unique "spirit" of a source text.
4. Market Sustainability and the Survival of the Tech-Savvy
Contrary to widespread "automation anxiety," the results indicate that the demand for Libyan translators’ services will not decrease, even with the rapid advancement of AI. However, the study draws a stark conclusion regarding professional survival: translators who have a firm grip on the latest technologies may well replace those who reject them.
5. The Necessity of Upskilling
Finally, the study concludes that practitioners must upskill and embrace technology to understand their new roles in the market. This includes learning precisely where AI-based translation tools excel and where they face problems. By repositioning themselves into emerging roles—such as localization, post-editing, and quality assurance—Libyan translators can secure their future in the "Human-Machine Era".</t>
  </si>
  <si>
    <t>Overall tendency: Used to describe the general "openness" of Libyan translators toward trial and integration of AI tools.
AI-powered tools / AI tools: The primary subject of the conclusion, described as "potentially very useful aids" that are transforming the industry.
Significant limitations: Refers to the machines' ongoing struggle with "culturally specific or domain-specific texts".
Transforming the translation industry: A term used to describe the effect of AI, which is opening "new avenues" for users rather than simply replacing them.
Enhancing CAT tools: A specific benefit identified where AI integration improves existing Computer-Assisted Translation workflows.
Human-machine collaboration: Defined as the future of the profession, provided that it does not discard the need for "human intervention".
Upskill and embrace technology: The proactive actions recommended for translators to understand their "new roles" in the market.
Firm grip on the latest technologies: A descriptor for the competitive advantage required for survival; the authors conclude that those with this "grip" may "replace those who reject them".
Demand for services: Used to reassure practitioners that the need for human translators in Libya will not decrease despite rapid automation.</t>
  </si>
  <si>
    <t>41</t>
  </si>
  <si>
    <t>217</t>
  </si>
  <si>
    <t>Oman</t>
  </si>
  <si>
    <t>Detailed number of participants</t>
  </si>
  <si>
    <t>Other: ProZ and Facebook posts and threads</t>
  </si>
  <si>
    <t>Other: Corpus from Facebook and ProZ translators' posts and threads</t>
  </si>
  <si>
    <t>Other: Experiment with post-editing and translating legal texts from English to Spanish.</t>
  </si>
  <si>
    <t>Other: Month-long, real-world study designed to measure the temporal and technical effort of professional translators when using machine translation (MT) compared to translating from scratch.</t>
  </si>
  <si>
    <t>Other: Participants translated and post-edited the machine translated selections from the test data using the PET (Post-Editing Tool) interface (Aziz et al. 2012), an open source computer-assisted translation tool for editing at the segment level, built for research purposes.</t>
  </si>
  <si>
    <t>Other: Post-editing tasks</t>
  </si>
  <si>
    <t>Brogueira 2023</t>
  </si>
  <si>
    <t>QXJSYMWG</t>
  </si>
  <si>
    <t xml:space="preserve">Portuguese translators' attitude to MT and its impact on their profession </t>
  </si>
  <si>
    <t>João Brogueira
E-mail: jcbrogueira@ucp.pt</t>
  </si>
  <si>
    <t>Portuguese Catholic University</t>
  </si>
  <si>
    <t>2023/12/21</t>
  </si>
  <si>
    <t>To determine the impact of technology, particularly MT, on the perceptions of translators and their career choices.</t>
  </si>
  <si>
    <t>Professional translators domiciled in Portugal</t>
  </si>
  <si>
    <t>1. Increased Adoption and Usage
Generalized Use: MT tool usage (including Google Translate and APIs for CAT tools) saw a major leap from 29% in 2017 to 53% in 2023.
Declining Resistance: The percentage of respondents who had never participated in an MT-explicit project dropped from 46% in 2017 to 34% in 2023.
Dominant Roles: In projects involving MT, the most frequent role reported is post-editor, followed by reviewer and translator.
2. Satisfaction and Perceived Quality Gap
The Satisfaction Paradox: While respondents generally rate the evolution of MT quality positively (especially in accuracy and terminology), their personal satisfaction is declining.
Negative Experiences: Dissatisfaction levels regarding MT projects rose from 22% in 2017 to 33% in 2023. Only one-third (34%) of respondents rated their MT experience as positive.
Loss of Agency: Satisfaction is lowest for reviewers (2.28/5) and post-editors (2.31/5), with results suggesting a direct correlation between a translator's ability to control the use of MT and their level of fulfillment.
3. The Threat of "Brain Drain" (Attrition)
Willingness to Leave: There has been a "significant leap" in the number of professionals willing to switch careers due to technology integration. In 2023, more than 40% of participants reported they would consider abandoning the translation profession if post-editing and reviewing become the norm.
Demographic Vulnerability: The 31–40 age group exhibited the highest willingness to exit the market (69.2%), a segment that also contains a high representation of Audiovisual Translation (AVT) specialists.
Impact on Income: Experienced translators have become increasingly pessimistic about the impact of MT on their income compared to 2017.
4. Identified Technical Limitations
Translators identified several persistent hurdles for MT in European Portuguese, including:
A failure to distinguish between Brazilian and European Portuguese.
Lack of contextual awareness and terminology inconsistencies.
Literal translations and grammatical concordance issues.
5. Influence of Education and Training
Protective Factors: Knowledge of MT through higher education and continuous professional development (CPD) positively influences attitudes. Those with a degree in translation are significantly less likely to abandon the profession than those with degrees in other fields.
Training Impact: Participants who had received formal MT training showed a much lower risk of attrition (&lt;30%) compared to those who rejected such training (72.2%).</t>
  </si>
  <si>
    <t>The Satisfaction-Adoption Paradox: Although MT usage has become more widespread since 2017, dissatisfaction levels have risen disproportionately. Only about one-third of MT users rate their experience as positive, and satisfaction is particularly low for those forced into post-editing and reviewing roles.
Risk of Market Disruption (Adverse Selection): The study concludes that the profession faces a significant threat of attrition, or "brain drain"
. Over 40% of participants expressed a willingness to abandon the trade if technology integration continues to diminish job satisfaction
. This leads to "adverse selection," where the most qualified or "good" translators leave for other professions—such as the public education system—where they can find better financial stability and social recognition.
Education as a Protective Factor: A key conclusion is that formal training is a vital buffer against technology-induced attrition. Translators with degrees specifically in translation or those who have engaged in Continuous Professional Development (CPD) regarding MT are significantly less likely to leave the profession than those who reject such training.
A Critique of the MT/AI Industry: Brogueira concludes that unlike earlier CAT tools, modern MT and Generative AI systems largely exclude translators from their development processes. This has led to a model focused on "automation efficiency" rather than the needs of the human user, contributing to the current sense of professional alienation.
The Necessity of Human-Centered Design: To retain talent and avoid a "talent crunch," the author concludes that the industry must shift toward a "human-centered approach to augmented translation". This model focuses on the amplification of human abilities and empowerment, maintaining human control rather than merely emulating human activity.</t>
  </si>
  <si>
    <t>Adverse selection: A central concept used to describe a market failure where "good" (highly qualified) translators leave the profession for other fields due to low pay and poor working conditions, leaving behind a less skilled workforce.
Asymmetric information: The theoretical context for adverse selection, describing a situation where buyers (clients) cannot distinguish between high-quality and low-quality translation services.
Market disruption: Refers to the potential long-term consequence of significant attrition, where widespread job dissatisfaction leads to a large-scale exodus of professionals.
Increasing technologization: A term used to describe the primary source of translator unhappiness, specifically when technology reduces a professional's sense of creative agency.
Financial stability and social recognition: Cited as the two primary benefits that might lure unhappy translators away from the industry and into the public education system.
Automation efficiency and emulation of human activity: Terms used to critique the current direction of the AI industry, which the author argues focuses on replacing humans rather than assisting them.
Amplification of human abilities and empowerment: The author's proposed alternative to automation, focusing on technology that enhances what a human can do.
Maintaining human control: A key requirement for any future translation technology to be acceptable to the professional community.
Human-centered approach to augmented translation: The specific label for the author's recommended model, which he argues is key to retaining talent in the industry.
Fear of replacement: What a human-centered approach specifically aims to avoid by refashioning translation as a "technological, detail-oriented craft" rather than a mere automated process.</t>
  </si>
  <si>
    <t>• Translators should be viewed as comprehensive communication professionals and consultants on cultural and technological issues, rather than just linguistic transcoders.
• The industry should move away from "dystopian discourses" and instead focus on open dialogue and business models that integrate the role of translators across all domains.</t>
  </si>
  <si>
    <t>SLR Covidence Data Extraction</t>
  </si>
  <si>
    <t>●</t>
  </si>
  <si>
    <t>• The researcher notes that national statistics do not show a systematic downward trend in pay, suggesting that for many, technology's impact on rates is compensated by an increase in work volume.</t>
  </si>
  <si>
    <t>• The "unreasonable" billing techniques where agencies apply discount structures intended for human-confirmed TMs to MT output.</t>
  </si>
  <si>
    <t>hostility is directed at the technology’s limitations and the negative market consequences—such as the "low-cost appeal" that allows clients to use MT as a way to save money at the expense of quality.</t>
  </si>
  <si>
    <t>In translation, tools like MT and translation memory (TM) serve to assist rather than replace human professionals, who remain essential for abstract decision-making and creative intelligence.</t>
  </si>
  <si>
    <t>Instead, the real risk lies in the fragmentation of the translator's role if professionals abandon technical domains in a "mass exodus" toward more creative sectors like transcreation.</t>
  </si>
  <si>
    <t>The study found that translators’ famously negative stance on MT is often misunderstood; most criticisms are rooted in the technology’s limitations and market consequences rather than a fear of being "replaced".
• Lack of Performance Anxiety: Most translators do not believe their professional skills compete with MT, noting that MT has significant errors and low quality. One participant noted they would only worry once computers start "writing great books".
• Low-Quality Exploitation: Negative attitudes are frequently directed at the low quality MT provides and how clients use it as a low-cost appeal to save money, rather than an intrinsic aversion to the technology itself.
• Contextual Awareness: Translators demonstrated a sophisticated understanding of MT's limits, such as its inability to distinguish between specific terms (e.g., "journal" vs "magazine") without well-known context.</t>
  </si>
  <si>
    <t>• Mixed Economic Picture: National statistics and professional surveys do not corroborate a systematic downward trend in pay. While some sectors may experience falling rates, the study notes that for many, technology's downward effect on unit rates is often compensated by an increase in volume.</t>
  </si>
  <si>
    <t>• Billing Techniques: While technology does impact pay, the concern is often not with the tool itself but with how it is used for billing. Translators criticised "discount structures" where MT leverage is billed according to established repetition rates used for human-confirmed translation memories, which they deemed unreasonable.</t>
  </si>
  <si>
    <t>• Contextual Awareness: A major barrier is that current tools often operate at the segment level, failing to incorporate the document-level context that is a core strength of Large Language Models.
• Terminology and Quality: GAI still struggles with industry-specific terminology and grammatical issues like gender and concord, meaning human oversight remains essential for quality control.</t>
  </si>
  <si>
    <t>• Importance of Upskilling: Effectiveness is largely influenced by the post-editing skills of the translators.
• Change Management: Successful adoption requires significant investment in translator training, technical support, and effective change management to address negative early experiences and high workloads.</t>
  </si>
  <si>
    <t>The study concludes that GAI-based machine translation provides a clear speed advantage over traditional methods.
• Speed Increase: On average, post-editing GAI output was 14% faster than translating from scratch.
• Workload Influence: When workloads were theoretically equalised across translators, the potential productivity gain rose to 37%.
• Individual Variability: A key conclusion is that productivity is not uniform; individual results ranged from a 2% decrease to a 102% increase, highlighting that personal skill and technical ability are decisive factors.</t>
  </si>
  <si>
    <t>• Change Management: Negative early experiences were often tied to high workloads and a lack of adequate preparation, highlighting that successful adoption requires upskilling, technical support, and hands-on experience.</t>
  </si>
  <si>
    <t>• Identified Weaknesses: The primary challenges included inconsistent or incorrect terminology, issues with gender and concord, and a lack of document-level context because the software plugin only operated at the segment level.</t>
  </si>
  <si>
    <t>• General Sentiment: Most translators (3 out of 4) expressed a positive attitude and a desire to continue using the GAI tool, particularly for routine tasks.</t>
  </si>
  <si>
    <t>• Linguistic Strengths: The GAI was particularly effective at improving the clarity of vaguely written source texts and handling long, repetitive, or generic documents.</t>
  </si>
  <si>
    <t>• Acceptance Rate: Only a small fraction of the GAI output was high enough to be accepted without any human edits: 11% for Finnish-Swedish and 16% for Finnish-English.</t>
  </si>
  <si>
    <t>• Overall Efficiency: On average, post-editing GPT-4 output was 14% faster than translating from scratch (2.75 vs. 2.40 characters per second).
• The "Workload" Effect: When the number of segments was equalized across translators in a supplementary analysis, the productivity gain increased to 37%.
• Stark Disparities: Productivity improvements varied significantly between the four translators, ranging from a minor decrease (-2%) to a massive 102% increase in speed.</t>
  </si>
  <si>
    <t>• Competence Gap: Finally, the researchers conclude that MT is "still far" from being a threat to the profession. They argue that machines currently lack the "extra-linguistic knowledge" and "strategic competence" required to resolve semantic ambiguities and replicate the expert human's ability to create an "equivalent reading experience".</t>
  </si>
  <si>
    <t>• "Translation in the Darkness": Participants concluded that sentence-level segmentation creates a "fragmented vision" of the story.
• Loss of Context: While humans maintain a "global view" of a page or chapter, the machine provides only a "peephole" view, making it difficult to maintain internal coherence and appropriate cultural nuances (such as correctly assigning gender to a "child" based on earlier context).</t>
  </si>
  <si>
    <t>• Cognitive Conditioning: The researchers found that MT suggestions "prime" or "condition" the translator. This forces the human to work within the machine’s interpretation, leading to more literal translations and a loss of the "freedom" to structure the text creatively.
• Literalism vs. Dynamic Equivalence: The study concludes that both MT systems struggled with the "fine details" of literary prose, often producing "calques" (literal structural copies) of the English source rather than a natural Catalan reading experience.</t>
  </si>
  <si>
    <t>• Persistent Resistance: Despite these measured gains (e.g., one participant saved 32% in time), every translator still stated a firm preference for translating "from scratch".
• The "Hurry" Use Case: Translators concluded that NMT is only useful as a tool for "hurried" projects or repetitive texts, but it is not something they would choose to use for high-quality creative work.</t>
  </si>
  <si>
    <t>• Objective Speed: All participants were objectively faster when post-editing NMT compared to translating from scratch or using older Statistical MT.</t>
  </si>
  <si>
    <t>• The Problem of Segmentation: Translators complained that the sentence-level segmentation of the software created a "fragmented vision" of the story, which they described as "translation in the darkness". They argued that literary translation requires a "global view" of paragraphs or pages to maintain the author's style and cultural nuances.</t>
  </si>
  <si>
    <t>• Creative "Priming": A major result was the finding that MT "conditions" or "primes" the translator. Participants felt restricted by the machine's suggestions, leading to more literal translations and a "lack of creativity" compared to their work from scratch.</t>
  </si>
  <si>
    <t>• Speed Increases: Measurements showed that all translators were faster when post-editing than when translating from scratch. Furthermore, every participant was faster using NMT than SMT.
• Reduction in Typing: All translators used fewer keystrokes for NMT compared to SMT. For example, one participant saved 32% in time and 28% in keystrokes when using NMT compared to translating from scratch.
• System Performance: NMT was rated higher than SMT across all categories: helpfulness (4/5 vs 3.75/5), fluency (2.75/4 vs 2/4), and adequacy/accuracy (3/4 vs 2.5/4).</t>
  </si>
  <si>
    <t>• Because current automation (MT/CAT) focuses on efficiency and segments, translators conclude that these tools "threaten to steal the essence" of their creative activity.
• There is a strong belief that while technology has transformed other sectors, it will "never catch on" in the literary field in the same way.</t>
  </si>
  <si>
    <t>• Threatening Technology: CAT tools and Machine Translation (MT) are largely dismissed. The conclusion is that these tools are seen as ignoring the "peculiarly human aspects" of translation and are therefore viewed as incompatible with literature.</t>
  </si>
  <si>
    <t>Negative: CAT tools and Machine Translation (MT) are largely dismissed. Respondents believe these tools will never catch on in literature as they have in other sectors because they "threaten to steal the essence" of the creative process by ignoring uniquely human aspects.</t>
  </si>
  <si>
    <t>Respondents reported using zero specialized translation technology (CAT or MT) for their literary projects</t>
  </si>
  <si>
    <t>this confidence did not extend to translation-specific tools.</t>
  </si>
  <si>
    <t>Ultimately, the study serves as an empirical basis for advancing the understanding of post-editing as an increasingly important form of human-machine cooperation. It concludes that as post-editing becomes a mainstream service, there is an urgent need to develop specialised training strategies, particularly for those working in their second language, to future-proof the livelihoods of professional translators.</t>
  </si>
  <si>
    <t>The study concludes that while most translators produce an output that is a measurable improvement over the raw MT baseline, the process is prone to human error. Participants introduced numerous new errors (predominantly meaning deletions) and missed existing MT errors (primarily related to accuracy), highlighting that post-editing requires high levels of vigilance and specific training.</t>
  </si>
  <si>
    <t>The study concludes that professional translators frequently and conspicuously use free online machine translation systems (such as Google Translate) as research and inspiration tools, even when they have no formal prior experience in post-editing. Online MT was the most used resource during task preparation, accounting for 46% of total online research time.</t>
  </si>
  <si>
    <t>• Domain Expertise: In-domain (patent) translation experience and formal translator training were concluded to be the primary drivers of higher productivity and better accuracy.</t>
  </si>
  <si>
    <t>• Positive Attitude: Participants with a more favourable view of the technology tended to spend more effort improving the output and achieved significantly better quality results.</t>
  </si>
  <si>
    <t>• Attitude towards MT: Translators with a more positive attitude towards technology spent more time on the first PE pass, less time on self-revision, and produced higher quality output (as indicated by lower TER scores).</t>
  </si>
  <si>
    <t>• Heavy Use of Free MT: A notable result was the frequent and conspicuous use of free online machine translation systems (such as Google Translate and Youdao fanyi) as a research tool during the task.
• Online Research: Online resources accounted for over 71% of total preparation time, with online MT sites being the most used resource (46%), followed by search engines and dictionaries.</t>
  </si>
  <si>
    <t>• Conditional Adoption: Most participants (10 out of 12) were either open to using MT for specific content or were mixed/undecided.</t>
  </si>
  <si>
    <t>A key conclusion is that the experience of post-editing is often perceived as psychologically restrictive.
• Creative Limitation: Translators described the process as "limiting" and "annoying", expressing feelings of being "trapped by MT".
• Comparison to Literature: As seen in our conversation history with the Ruffo (2018) and Ruokonen and Salmi (2024) studies, this research confirms that even in highly technical fields like subtitling, professionals fear that automation "threatens the essence" and creativity of their work.</t>
  </si>
  <si>
    <t>• The Segmentation Gap: Even when automatic metrics (like BLEU) showed that sophisticated document-level models were superior, translators found them harder to use because the timing and frame divisions were often poor.
• Forced Errors: Misaligned or off-sync subtitles were identified as a "major issue" that increased cognitive load, sometimes forcing translators to make unnecessary linguistic changes just to fit the technical constraints.</t>
  </si>
  <si>
    <t>• Sentimental Divide: 55% of all statements made in interviews were negative. Many translators felt MTPE involved more effort than traditional translation and worried it could lead to a lower quality final product.</t>
  </si>
  <si>
    <t>23 positive mentions, specifically praising the MT for providing useful terminology.</t>
  </si>
  <si>
    <t>translators made 30 negative mentions regarding MT quality (lexical errors, ungrammatical structures)</t>
  </si>
  <si>
    <t>The most significant barrier to a positive user experience was not the quality of the translation itself, but how the text was timed and divided on the screen:
• Poor Assessment: Automatic spotting (timing) and segmentation (how sentences are split into subtitle frames) were generally assessed as poor, particularly in the document-level models.
• Interview Feedback: All 12 participants commented negatively on these issues, noting that subtitles were frequently out of sync with the audio or that sentences were incorrectly split across frames.
• Impact on Effort: Participants noted that fixing off-sync subtitles often led them to make unnecessary linguistic changes, increasing their overall cognitive load.</t>
  </si>
  <si>
    <t>• Negative Outliers: The most negative reactions from participants described the process as "labourious" and "limiting" regarding their creativity.</t>
  </si>
  <si>
    <t>5. Necessity for Continuous Upskilling
Ultimately, the study suggests that language practitioners must take responsibility for their own self-development. Because of the rapid technological shifts, practitioners need to remain engaged with advancements to avoid redundancy and to position themselves effectively as specialists within a digitised industry. This requires a collaborative relationship between educational institutions and the corporate sector to ensure curricula remain as responsive as possible to evolving industry demands.</t>
  </si>
  <si>
    <t>A significant conclusion is the mismatch between the focus of Higher Education Institutions (HEIs) and the actual needs of the FSP industry. While HEIs prioritise translation training and an in-depth focus on tools like CAT, MT, and AI, this task is a secondary concern in FSPs. In contrast, the study found that plain language work is in high demand within the financial sector, yet it is not a primary focal point in university curricula.
2. Limitations of Institutional Preparedness
The researcher concluded that HEIs cannot realistically prepare language practitioners for every specific working environment or sector-specific technical need. Consequently:
• Universities provide a strong theoretical foundation and generic practical skills, but graduates often lack the specific skills required for financial or legal texts.
• In-house training is deemed essential for new recruits to acquire specific competencies, such as plain language editing, that are not fully mastered at university.</t>
  </si>
  <si>
    <t>• Opportunity vs. Threat: Most practitioners do not view technology as a direct threat to their jobs in the next five years, but rather as an opportunity to automate mundane tasks, allowing them to focus on higher-order cognitive and creative functions.</t>
  </si>
  <si>
    <t>• Theory-Practice Imbalance: A major finding was the discrepancy between university curricula and workplace needs. While Higher Education Institutions (HEIs) focus heavily on translation theory and practice, FSPs require more expertise in plain language editing and corporate soft skills.
• Graduate Readiness: Graduates are perceived to have a strong theoretical and linguistic foundation but often lack the specific technical skills and practical experience required to handle specialized financial and legal documentation immediately upon entry.</t>
  </si>
  <si>
    <t>• Human-Centric Workflows: Most participating FSPs were plotted on the conservative end of the interaction spectrum, relying primarily on Human Translation (HT) or HT with only optional MT support to mitigate reputational risks [313, 401, 5.1].</t>
  </si>
  <si>
    <t>• Barriers to Use: Adoption is hindered by budget constraints, a lack of time for staff training, and the fact that current MT systems are often unreliable for low-resource indigenous languages.</t>
  </si>
  <si>
    <t>• Limited Adoption of CAT and MT: The use of Computer-Assisted Translation (CAT) tools and Machine Translation (MT) remains very limited and voluntary within FSPs. While practitioners are generally aware of these tools, their use is often at the individual’s discretion rather than being a mandatory institutional workflow.</t>
  </si>
  <si>
    <t>Ultimately, the research suggests that the goal of technological progress should be to inform new strategies that improve both efficiency and quality responsibly. The author argues that technology should be viewed not just as a cost-saving measure for clients, but as a tool to better support the needs of translation professionals and ensure the high standards required for medical documentation.</t>
  </si>
  <si>
    <t>A significant conclusion of the study involves the professional ethics of MT usage. Because some translators reported using MT "activeley" even when explicitly prohibited by agency contracts, Vidrequin concludes there is an urgent need for ongoing education and training in best practices for data privacy and protection. This is particularly vital in the medical field, where data confidentiality and accuracy are of paramount importance.</t>
  </si>
  <si>
    <t>• Punctuation and Formatting Issues: Translators expressed frustration over the lack of customization for punctuation (e.g., styles for quotes and apostrophes), which often requires time-consuming manual workarounds or "search and replace" operations at the end of a project.
• Inconsistencies: Frequent terminology and phraseology inconsistencies remain a major challenge, although those using adaptive MT engines (which learn from user feedback) reported fewer of these issues.
5. Factors for Refusal
• The small minority of translators who refused MT cited limitations on creativity and negative past experiences, such as being sent poor-quality MT output by agencies or receiving lower rates.</t>
  </si>
  <si>
    <t>2. Motivations for "Active" Use
• Productivity and Deadlines: Translators use MT to meet tight deadlines and remain competitive in the market.
• Ergonomics: A significant benefit cited was the reduction of manual typing on the keyboard.
• Translation Aid: Professionals use MT suggestions as an "aid" to find different linguistic proposals.</t>
  </si>
  <si>
    <t>• Widespread Adoption: The majority of participants (17 out of 21) accepted the use of MT to some extent, while only four expressed a complete refusal.</t>
  </si>
  <si>
    <t>Ultimately, the study concludes that if translators leverage technology voluntarily and engage with it more regularly, the industry could see even more substantial gains in productivity. The authors suggest that future training should focus on helping translators identify which MT-generated features (such as syntax or rare terminology) are most likely to require human intervention to ensure the best possible outcome.</t>
  </si>
  <si>
    <t>The study highlights a clear disconnect between translator expectations and actual results. Prior to the task, only 23% of participants believed MT could improve quality, yet the final data showed a massive, statistically significant improvement,. The researchers conclude that general-purpose MT can provide usable and effective translation suggestions that exceed the initial confidence levels of the professionals using them.</t>
  </si>
  <si>
    <t>The authors conclude that general-purpose, data-driven MT is a contextually appropriate tool for legal translation, particularly at the terminological and phraseological levels,,. Participants broadly agreed that the MT output was most useful for handling specialized terms and legal collocations, such as "felony charge" or "emitir una orden" (issue a warrant),. This is significant because legal translation is traditionally viewed as an area where terminology is a major hurdle.</t>
  </si>
  <si>
    <t>The primary conclusion is that post-editing (PE) is superior to translating from scratch in terms of both speed and the quality of the final product,. Specifically:
• Time: Post-editing resulted in an average 16% decrease in time spent on task (approximately 10.5 minutes faster per passage),.
• Quality: The quality gains were statistically significant, with post-edited texts receiving substantially better scores than those translated manually,. Post-editing reduced the average error score by as much as 47%.</t>
  </si>
  <si>
    <t>In summary, the results highlight that even general-purpose statistical MT—at the height of its development—can serve as a contextually appropriate and productive tool for specialized legal translation, provided it is paired with human post-editing.</t>
  </si>
  <si>
    <t>• Expectations vs. Reality: Prior to the task, 62% of participants believed MT could improve speed, but only 23% expected it to improve quality. The actual results surpassed these expectations, particularly regarding quality,.
• Terminological and Phraseological Benefits: There was a broad consensus that the MT output was most beneficial at the terminological and phraseological levels,,.</t>
  </si>
  <si>
    <t>• Statistical Significance: Post-editing resulted in statistically significant quality improvements,,.
• Lower Error Scores: Using the American Translators Association (ATA) standardized scoring criteria (where a lower score indicates higher quality), post-edited texts achieved an average score of 21.9, whereas translated texts scored 34.7,. This represents a substantial quality gain of approximately 47%.
• Fewer Errors: On average, post-edited texts contained 14.5 errors, compared to 22.9 errors in texts translated from scratch,.</t>
  </si>
  <si>
    <t>• Radical Training Reform: As noted in our conversation history, the researchers argue that translator training should move beyond just "instrumental" skills like post-editing and instead foster a "conceptual understanding" of business dynamics, empowering translators to shape the market they are adapting to.</t>
  </si>
  <si>
    <t>• Increased Involvement: Translators must be more involved in the management, estimation, and client-communication phases of projects to bridge the gap between production reality and managerial expectation.</t>
  </si>
  <si>
    <t>The study concludes that the current structure of the language industry alienates translators from business strategy.
• Translators are frequently relegated to the position of "peripheral contributors" or "technology users" rather than strategic partners.
• This fragmentation means that translators—who are the "core" of the business—often lack the contextual oversight and information flow needed to negotiate fair pay and realistic deadlines.</t>
  </si>
  <si>
    <t>The researchers conclude that MT adds complexity to the "iron triangle" of speed, cost, and quality.
• Because MT quality is inherently unpredictable, it is difficult for managers to provide precise quotes or for translators to estimate their effort beforehand.
• This uncertainty often leads to mismatched expectations, where clients and managers may have over-expectations of productivity that do not align with the reality of the translator's work.</t>
  </si>
  <si>
    <t>• The Productivity Paradox: Pricing was often based on estimated speed gains. However, when MT quality was lower than expected, translators suffered a loss in earning power because the task took longer than the managers' "over-expectations" predicted.</t>
  </si>
  <si>
    <t>• Responsibility for Error: Translators expressed anxiety over agency, feeling that while the machine generated the text, they remained the "experts" who would be blamed for any undetected errors.</t>
  </si>
  <si>
    <t>• Production’s Negative View: Translators were disproportionately negative, specifically regarding target-text quality, tools/interfaces, and productivity.</t>
  </si>
  <si>
    <t>• Management’s Balanced View: Managers held a relatively balanced stance, with similar numbers of positive and negative comments. They viewed MT pragmatically as a tool to navigate the "iron triangle" of speed, cost, and quality.</t>
  </si>
  <si>
    <t>practitioners must adopt research-driven practices and continuous technology training.</t>
  </si>
  <si>
    <t>The "Human Advantage" in Culture and Ethics: A central conclusion is that AI struggles with ambiguity, cultural references, and idiomatic expressions, areas where human intervention remains vital for localization and accuracy. Translators remain essential for ensuring that texts resonate with target audiences and maintain narrative coherence in sensitive sectors like art and literature.</t>
  </si>
  <si>
    <t>Translators are expected to become "consultative and advisory" specialists who act as ethical guides, preventing biased or misleading AI output and handling the subjective human experiences that machines cannot grasp.</t>
  </si>
  <si>
    <t>The Necessity of Collaboration: The study concludes that the future of the profession lies in a "partnership" or "integrated partnership" between humans and machines. While 97% of participants believe AI will continue to prevail, 93% envision their professional future "flourishing" through this collaboration rather than through the total replacement of the human element.</t>
  </si>
  <si>
    <t>Rigorous Quality Control: Implementing strict data privacy and rigorous quality assurance processes allows translators to reposition themselves as essential "quality controllers" within the automated workflow.</t>
  </si>
  <si>
    <t>Continuous Education: 93% of participants emphasized the need for continuous technology training and professional development programs to bridge the gap between human expertise and AI capabilities.</t>
  </si>
  <si>
    <t>The "Human Touch": Skills in creative adaptation, localization, and interpersonal collaboration with clients were cited as unique human contributions that AI cannot replicate.</t>
  </si>
  <si>
    <t>Linguistic Mastery: 97% of participants identified advanced linguistic competence and terminology database management as the most critical skills for the AI era.</t>
  </si>
  <si>
    <t>Cultural and Ethical Oversight: Human translators are vital for maintaining ethical standards, preventing biased or misleading AI output, and ensuring cultural relevance—nuances that machines often miss.</t>
  </si>
  <si>
    <t>90% of participants worry about the diminishing importance of traditional human skills and values in an industry focused on the speed of machine translation.</t>
  </si>
  <si>
    <t>Respondents highlighted significant difficulties in handling technical complexity (87%) and accessing comprehensive training resources (80%).</t>
  </si>
  <si>
    <t>A Positive Trajectory: Despite the challenges, 93% of respondents envision their professional future "flourishing" specifically through a collaborative relationship with AI tools rather than being replaced by them.
Human as the Centrepiece: The findings suggest that translators will move toward consultative and advisory roles, acting as specialized experts in post-editing and quality assurance to ensure machine output aligns with human intent.</t>
  </si>
  <si>
    <t>• Societal Tolerance for Substandard Quality: In the long run, the study concludes that society may become tolerant of unnatural machine syntax, leading to a "simplification of texts" and a degradation of human communication.</t>
  </si>
  <si>
    <t>• De-skilling of the Youth: The researchers conclude that a gap is forming between university training and industry needs; because machines handle simple texts well, younger translators may lose the "routine" entry-level work needed to build their professional expertise.</t>
  </si>
  <si>
    <t>• Security Risks: There is a conclusion that the widespread use of free, cloud-based MT engines by both professionals and office workers poses a major risk of confidential data leaks.</t>
  </si>
  <si>
    <t>Russian translators (largely freelancers) remain deeply skeptical, viewing it as more work for less pay.</t>
  </si>
  <si>
    <t>the overall impact on their daily lives is predominantly negative. Specifically:
• The study concludes that the negative implications (lower pay, shorter deadlines, and a deteriorating professional image) currently outweigh the positive benefits of increased speed.
• There is a prevailing belief (77% of respondents) that the profession will continue to shrink or transform, with a significant portion of translators fearing partial or full replacement.</t>
  </si>
  <si>
    <t>• Skepticism: Unlike international studies that show high productivity gains and acceptance of Machine Translation Post-Editing (MTPE), Russian translators remain highly skeptical.
• Freelance Resistance: This skepticism is attributed to the high number of experienced freelancers in the sample who view MT output as "substandard" and MTPE as requiring more effort for lower pay.</t>
  </si>
  <si>
    <t>• Confidentiality Risks: While 48% of translators handle sensitive data responsibly, nearly a quarter (24%) have either never thought about security or do not handle it effectively, posing a major risk for unintentional data leaks via cloud-based free MT engines.</t>
  </si>
  <si>
    <t>• Declining Standards: 29% of translators report a decline in quality standards, noting that clients are becoming increasingly tolerant of unnatural, machine-generated syntax.</t>
  </si>
  <si>
    <t>• Fear of Replacement: 77% of respondents believe the profession will shrink or transform. While 45% predict they will be partially replaced by machines, 13% fear full replacement.</t>
  </si>
  <si>
    <t>• Reputational Risks: 48% of respondents believe technology poses a risk to the profession's reputation. Translators reported that the general public and corporate superiors often view their role as "minor editing" or "glorified data entry," leading to a lack of professional value within companies.</t>
  </si>
  <si>
    <t>• Negative Economic Trends: 32% of respondents noted that technology has stalled or decreased pay rates, while 23% lamented the shorter deadlines imposed by clients and agencies who assume the machine does most of the work.</t>
  </si>
  <si>
    <t>• High Usage Rates: 81% of respondents use translation technology professionally. The most common tools are Machine Translation (MT) (81%) and CAT tools with Translation Memory (74%).</t>
  </si>
  <si>
    <t>• Social Negativity: Sentiment turns negative when considering broader networks involving employers or clients. This is primarily due to "tight deadline impositions" and a "reduced level of appreciation" from those who mistakenly believe the machine does all the work.</t>
  </si>
  <si>
    <t>• Individual Positivity: Tools are evaluated positively in individual networks because they assist with skills, competencies, and managing large-volume tasks.</t>
  </si>
  <si>
    <t>5. Future Outlook: Human Irreplaceability
• Survival of the Profession: There is a high level of agreement (Mean=3.82) that no AI or MT can completely replace human translation.
• Age-Based Optimism: Interestingly, while most variables (sex, income) showed no statistical difference, younger professionals (ages 18–25) were significantly more positive about the reputation of the profession in the AI era than their older colleagues (ages 46–50).</t>
  </si>
  <si>
    <t>• External Devaluation: However, they believe that appreciation from employers has decreased (Mean=3.62) because "outsiders" often mistakenly believe the computer provides the entire translation "as a package" without human effort.
• Prestige: While 70% of participants still consider translation a prestigious profession, many are pessimistic about how AI will affect its reputation among the public in the future.</t>
  </si>
  <si>
    <t>• Internal Confidence: Translators do not feel they have lost decision-making power (Mean=2.14) or responsibility for quality (Mean=2.42) when using AI or MT.</t>
  </si>
  <si>
    <t>• Financial Advantage: Despite the pressure, translators believe these tools provide a competitive edge for generating more income.</t>
  </si>
  <si>
    <t>• Preference for Digital Work: Most participants expressed a strong desire to work only in environments where digital tools are provided, viewing those who don't use them as "torturing themselves".</t>
  </si>
  <si>
    <t>• Widespread Use: Out of 29 participants, 21 use MT tools (e.g., Google Translate) and 16 use AI tools (e.g., ChatGPT).</t>
  </si>
  <si>
    <t>• Creativity and Motivation: There is an ongoing risk that NMT could drive translators into a passive role, potentially "killing creativity" and affecting long-term translation skills if not addressed through better quality management and motivation strategies.</t>
  </si>
  <si>
    <t>• Lower Pre-revision Quality: This has led to a perception among revisers that pre-revision translations are of lower quality than before NMT was introduced, requiring more effort and sometimes causing inter-collegial tension.</t>
  </si>
  <si>
    <t>• Translating instead of Post-editing: Because they view traditional post-editing (PE) as a high-risk activity that can "deceive" them with its fluency, many translators have developed working methods where they actively translate—using NMT only as a reference or source of "chunks"—rather than simply cleaning up the machine's output.
• Compensatory Strategies: These methods are designed to compensate for the unpredictable quality of NMT, which varies greatly from segment to segment and cannot be reliably predicted.</t>
  </si>
  <si>
    <t>• Increased Workload: Several reported that pre-revision translations have become of lower quality since the introduction of NMT, requiring more intervention and effort from revisers and sometimes leading to inter-collegial tension.</t>
  </si>
  <si>
    <t>• The "Creativity" Risk: Some translators complained that the tool was "killing creativity" by forcing them into a passive role of "cleaning up" text rather than actively creating it.</t>
  </si>
  <si>
    <t>• Psychological Benefits: A quarter of participants found it reassuring to have a segment that was not blank, using the MT as a "source of inspiration" when tired.</t>
  </si>
  <si>
    <t>• Fluency vs. Accuracy: The two most critical issues identified were mistranslation and deceptive fluency. Translators reported being "deceived" by the linguistic smoothness of the Hungarian output, which can mask serious errors in word order, misplaced attributes, or the inversion of subject and object.
• Terminology and Proper Names: Translators noted a high risk in legal texts due to incorrect or inconsistent terminology. A unique recurring error in Hungarian NMT is the translation of proper names into "fictional words," which poses a significant risk for document clarity.</t>
  </si>
  <si>
    <t>Finally, the researcher concludes that there is an urgent need to democratise the debate regarding AI and automation. Rather than having policy responses "parachuted from above" by tech elites or governments, the study advocates for the active consultation and empowerment of the professionals whose livelihoods are most at risk.</t>
  </si>
  <si>
    <t>freelancers working in technical or medical fields where automation is perceived as an immediate threat to both employment and wage levels.</t>
  </si>
  <si>
    <t>These individuals are predominantly freelancers working in technical or medical fields where automation is perceived as an immediate threat to both employment and wage levels.</t>
  </si>
  <si>
    <t>the "uberization" of translation—characterized by declining pay rates for post-editing tasks and insecure freelance conditions—acts as a secondary driver for UBI support independent of total job loss.</t>
  </si>
  <si>
    <t>• Technical and Legal Translators: These professionals are more likely to already incorporate machine translation into their workflows and view the transition to post-editing as an inevitable transformation of their role.</t>
  </si>
  <si>
    <t>• Incorporate translation technology into all levels of university curricula.
• Champion expert-led professional development programmes to encourage positive mindsets and efficient usage habits.</t>
  </si>
  <si>
    <t>The study highlights a critical lack of formal education, as 64.2% of users have no formal training in these tools.</t>
  </si>
  <si>
    <t>• Recognition of Expertise: Most participants believe their expertise is still recognised by clients and end-users, and that their professional status has not necessarily been downgraded by the existence of AT,.
• Autonomy: The authors conclude that literary translators are unlikely to lose their autonomy or expertise if they use their cognitive abilities to verify and post-edit machine output rather than accepting it blindly.</t>
  </si>
  <si>
    <t>A significant conclusion of the research is that total dependence on automation is dangerous for literary quality.
• "Sentence Salad": The study warns that relying solely on AT for aesthetic texts can result in a lack of cohesive style, producing contextually inconsistent "sentence salad".
• Cognitive Stagnation: There is a concern that upcoming translators are becoming "digitally dependent," failing to develop the essential cognitive abilities required for high-l</t>
  </si>
  <si>
    <t>• Fear of Obsolescence: Translators are anxious about the unknown and fear that new technologies will make them obsolete, leading to a loss of livelihood.</t>
  </si>
  <si>
    <t>The study concludes that the initial hypothesis—that literary translators hold a biased or sceptical opinion of machine translation—is correct,. Even though 98.5% of the participants use these tools, nearly half (46.3%) maintain a negative appraisal of them,. This creates a paradox where professionals use the technology for efficiency but continue to view it as a "usurper" of the purity of their profession.</t>
  </si>
  <si>
    <t>• Lack of Formal Training: A major gap in professional development was identified; while nearly everyone uses the tools, 64.2% of respondents have never received formal training on how to use them effectively.</t>
  </si>
  <si>
    <t>• Professional Status: Despite fears of losing their livelihood, 51.5% of participants disagreed that machine translation has led to a loss of prestige for the profession, with many asserting that the human translator remains indispensable.</t>
  </si>
  <si>
    <t>• Digital Dependency: A significant majority (64.7%) expressed concern over the "digital dependency" of translators, fearing that newer professionals are not properly developing their cognitive abilities because they rely too heavily on automation.
• Professional Status: Despite fears of losing their livelihood, 51.5% of participants disagreed that machine translation has led to a loss of prestige for the profession, with many asserting that the human translator remains indispensable.</t>
  </si>
  <si>
    <t>• Digital Dependency: A significant majority (64.7%) expressed concern over the "digital dependency" of translators, fearing that newer professionals are not properly developing their cognitive abilities because they rely too heavily on automation.</t>
  </si>
  <si>
    <t>• Validation of Bias: The findings confirmed the researchers' initial hypothesis that literary translators hold a biased or sceptical opinion of machine translation, often viewing it as a "usurper" of their creative profession.</t>
  </si>
  <si>
    <t>• Near-Universal Usage: Almost all participants (98.5%) admitted to using machine translation tools for rendering aesthetic texts.</t>
  </si>
  <si>
    <t>• Enhanced Quality: Users reported greater consistency of terms.
• Increased Productivity: Users were more likely to finish work on time.
• Job Satisfaction: 60% of respondents indicated their professional output had been "impressive" since adopting the tools, proving that the advantages far outweigh the disadvantages.</t>
  </si>
  <si>
    <t>• Enhanced Quality: Users reported greater consistency of terms.</t>
  </si>
  <si>
    <t>The study concludes that academic institutions are failing to prepare the next generation of translators for the digital age. Although most translators were trained in environments where CAT tools existed, only 10% were actually taught how to use them in school. The authors warn that if this trend continues, Nigerian translators will remain unable to compete in an "ever-changing world of technology".</t>
  </si>
  <si>
    <t>• Remuneration Issues: The study suggests that if translators cannot use tools to improve their speed and satisfy international standards, they will struggle to increase their income.</t>
  </si>
  <si>
    <t>• The Learning Curve: There is a consensus that the time involved in learning how to use these tools is "very long," which deters busy professionals from upgrading.
• Conceptual Confusion: A major conclusion is that misconceptions about the technology itself hinder its acquisition. Since 50% of translators mistakenly believe TM is the same as fully automatic machine translation, they view the tools as unreliable or not useful for high-quality work.</t>
  </si>
  <si>
    <t>• Economic Barriers: The expensive nature of the software is the most significant hurdle; 70% of non-users cited high costs (ranging from €60 to €695) as their reason for avoidance.
• The Learning Curve: There is a consensus that the time involved in learning how to use these tools is "very long," which deters busy professionals from upgrading.
• Conceptual Confusion: A major conclusion is that misconceptions about the technology itself hinder its acquisition. Since 50% of translators mistakenly believe TM is the same as fully automatic machine translation, they view the tools as unreliable or not useful for high-quality work.</t>
  </si>
  <si>
    <t>• The MT vs. TM Confusion: 50% of Nigerian translators mistakenly believe that Translation Memory is the same as Machine Translation (automatic translation without human aid). The researchers note this misconception directly hinders tool acquisition because translators view the tools as "not useful" or "unreliable".
• Educational Shortfall: Although 70% of respondents indicated that CAT tools existed during their professional training, only 40% were actually taught how to use them in school. This suggests that academic curricula have not kept pace with the needs of the international market.</t>
  </si>
  <si>
    <t>• Education and Training: Helping translators learn to accept and navigate the constantly evolving technological landscape.</t>
  </si>
  <si>
    <t>Translators believe that decisions to use machines are being made based on economic motives and financial logic—choosing the cheaper, faster option even if it is linguistically inferior. While professionals still believe humans are indispensable for highly specialised fields (like the legal domain discussed in our previous conversations), they conclude that clients are increasingly handling "lighter" content in-house using automated tools.</t>
  </si>
  <si>
    <t>Translators believe that decisions to use machines are being made based on economic motives and financial logic—choosing the cheaper, faster option even if it is linguistically inferior</t>
  </si>
  <si>
    <t>A critical conclusion of the study is that using the technology reduces the stress associated with it. Translators who actively use specific tools like CAT software or machine translation reported lower levels of techno-insecurity than those who do not use them. This suggests that familiarity and regular engagement with tools help alleviate the fear of being replaced by them.</t>
  </si>
  <si>
    <t>The most prominent stressor is techno-insecurity, with a substantial number of professionals (42%) fearing that they will eventually lose their jobs to automation</t>
  </si>
  <si>
    <t>However, many worry that the availability of MT is already reducing the overall volume of work sent to professionals.</t>
  </si>
  <si>
    <t>• Economic Drivers: Translators expressed fear that decisions to use machines are being driven by economic motives and financial logic rather than linguistic quality.</t>
  </si>
  <si>
    <t>• Machine Translation (MT): While CAT adoption is nearly universal, translators are more selective with MT. About 54% use the MT feature within CAT tools, but 94% never use generative AI (GAI) like ChatGPT for translation purposes.</t>
  </si>
  <si>
    <t>• Techno-complexity: Approximately 39% of translators feel they lack the time to upgrade their technological skills effectively.</t>
  </si>
  <si>
    <t>• Techno-insecurity (Job Loss): This is the most profound concern, with 42% of respondents agreeing or strongly agreeing that they fear losing their job due to technology.</t>
  </si>
  <si>
    <t>Finally, the researchers conclude that the effective incorporation of AI tools in translation education is contingent upon the interplay between motivation and adaptability. These factors work together to maximise the benefits of AI, ensuring that students are prepared for the "dynamic realm" of language technology while improving the overall quality and speed of the translation process.</t>
  </si>
  <si>
    <t>ethical and professional implications of AI, such as data privacy, stereotypes, and potential job replacement,,.</t>
  </si>
  <si>
    <t>Their adaptation involves more than just using the tools; they are effectively aligning teaching methods and curricula to accommodate industry demands and technological innovations,.</t>
  </si>
  <si>
    <t>• Student Preparedness: Integrating AI-driven tools equips translation students with "in-demand post-editing skills" that are increasingly required by the modern translation industry,.
• Educator Efficiency: For the lecturers themselves, the use of these tools increases productivity and enhances the efficiency of both their teaching and research practices,.</t>
  </si>
  <si>
    <t>predominantly positive attitudes displayed by senior lecturers are clear indicators of their acceptance of AI tools in the translation field,</t>
  </si>
  <si>
    <t>The researchers concluded that the positive attitudes of the participants are a clear indicator of their acceptance of AI tools in the translation field,.</t>
  </si>
  <si>
    <t>• Neutrality on Ethical Issues: The lecturers held a neutral or balanced viewpoint regarding the ethical and professional issues associated with AI, such as data privacy, stereotypes, and potential job replacement,,.</t>
  </si>
  <si>
    <t>• Efficiency: The highest level of agreement was recorded regarding efficiency, with 83.63% of respondents (36.36% strongly agree and 47.27% agree) affirming that AI-driven tools enhance the efficiency of their teaching and research,.
• Productivity: Nearly 61% of senior lecturers believe that these tools have a beneficial effect on their overall productivity,.
• Satisfaction: More than 53% of the participants expressed satisfaction with the outcomes of using these technologies while instructing students,.</t>
  </si>
  <si>
    <t>• Student Performance: There is a prevailing conviction among educators (55.45%) that integrating AI tools into the classroom improves students' performance in translation practice,.</t>
  </si>
  <si>
    <t>• Frequent Integration: A majority of the lecturers (51.82%) reported that they frequently integrate AI-driven translation tools into their teaching of post-editing practices,.</t>
  </si>
  <si>
    <t>• Freelance Anxiety: Freelance translators often feel threatened by technology, fearing that MT will replace human translators and expressing "powerlessness" over their work being used without permission to train MT engines.</t>
  </si>
  <si>
    <t>• Public Service Optimism: These translators are generally well-disposed toward technology and the need for upskilling, viewing Machine Translation (MT) as a tool to leverage the small pool of accredited translators to meet high institutional demand.</t>
  </si>
  <si>
    <t>• Public Service View: In contrast, public service translators were more well-disposed toward technology, viewing MT as a tool to help handle the large volumes of work required by the end of the EU derogation,.</t>
  </si>
  <si>
    <t>• MT and Post-Editing: Attitudes toward MT were mixed, with 22 negative comments versus 15 positive ones. Freelance translators generally feel threatened by technology and expressed "powerlessness" regarding their translations being used to train MT engines,.</t>
  </si>
  <si>
    <t>• Top Concerns: When asked about the main threats to the profession, the most cited issues were falling quality (27 responses), low rates (23 responses), and Machine Translation (MT) (11 responses).</t>
  </si>
  <si>
    <t>• Security and Professionalism: Barriers to using IM and MT include concerns over confidentiality and the perception that using such tools with clients is unprofessional.</t>
  </si>
  <si>
    <t>• Specific PSIT training is a determining factor for the use of Machine Translation, suggesting that specialized courses can encourage the adoption of certain tools.</t>
  </si>
  <si>
    <t>• Security Concerns: A notable barrier to using Instant Messaging and Machine Translation is the perception of confidentiality and reliability issues, which some participants feel are unprofessional in a public service context.</t>
  </si>
  <si>
    <t>• IM, MT, and VC: These are used more extensively, though still by fewer than half of the participants. Instant Messaging (IM) had the highest "very frequent" use at 28.2%, followed by Machine Translation (MT) at 17.6%, and Video Conferencing (VC) at 8%.</t>
  </si>
  <si>
    <t>• New Skillsets: Professional organisations must focus on developing new skills and predicting future technological trends,.
• Training Adaptation: The results highlight a need for translators to be educated in how to interact with and supervise machines,.</t>
  </si>
  <si>
    <t>4. Conceptual Gaps and "Helpful Assistants"
The authors conclude that there is a significant lack of conceptual awareness among practitioners regarding what AI actually is,. Most translators:
• Cannot distinguish between narrow AI and simple automation, attributing the speed and efficiency of automation to AI,.
• View AI as a "helpful assistant" rather than a self-learning machine that could jeopardize their professional existence,.</t>
  </si>
  <si>
    <t>1. Rejection of Pessimistic Job Destruction Scenarios
The researchers conclude that the pessimistic scenarios common in academic literature—which predict mass job losses due to AI—are not justified in the case of Bulgarian translators,. While some futurists have compared translation to "extinct" roles like lamplighters, the survey data suggests that translators do not believe their profession will be destroyed by technological change,.</t>
  </si>
  <si>
    <t>The researchers concluded that the pessimistic scenarios of mass job destruction are not justified in the case of Bulgarian translators. Instead of replacing the professional, AI is viewed as an "organiser of new activities" that relieves humans of routine, technical burdens, allowing them to focus on editing and quality assurance.</t>
  </si>
  <si>
    <t>• Perceived Threat Level: 52% of respondents feel "slightly threatened" by AI, 31% do not feel threatened at all, and 17% feel "very threatened".</t>
  </si>
  <si>
    <t>• Confusion with Automation: A major result of the study is that most translators cannot clearly distinguish between AI and simple automation. They tend to assign the benefits of automation (efficiency/routine processing) to AI.
• Tool Classification: Most participants view professional tools like SDL Trados, MemoQ, and Wordfast as "just automatisation". Interestingly, Google Translator Toolkit was the only tool a majority (60%) classified specifically as AI.
• Definition Difficulty: 58% of respondents were unable to provide an exact definition of what Artificial Intelligence is.</t>
  </si>
  <si>
    <t>• Perceived Advantages: 64% of respondents see advantages in using AI. The most cited benefits are increased speed and saving time (53%) and making the translation process easier (35%). Notably, only 9% believe AI improves the quality of translation.</t>
  </si>
  <si>
    <t>• High Levels of Trust: Overall trust in technology is high, particularly among younger translators (aged 18–30) who hold almost entirely positive views. Older respondents (50+) rely less on digital tools but still maintain general trust in them.</t>
  </si>
  <si>
    <t>The study concludes that continuing professional development (CPD) is essential for providing translators with the competencies needed to use new technologies effectively. Training should focus not just on technical skills but on fostering a critical awareness and a new mindset that allows for a "reasoned" use of automation (cum grano salis).</t>
  </si>
  <si>
    <t>• Client Education: There is a critical need to educate internal clients about MT's limitations to prevent the "devaluation" of translation and the perception of translators as mere "bilingual secretaries".
• Spirit of Partnership: Institutions must work to raise awareness among text authors about the added value human experts provide to strengthen a sense of professional partnership.</t>
  </si>
  <si>
    <t>Preservation of Translator Agency
A primary conclusion is that the professional translator must remain "in the driver's seat". The sources suggest that MT is most effective when translators have the autonomy to decide when to use it (e.g., for "throw-away" or simple texts) and when to rely on traditional methods for high-risk or complex legislative acts.</t>
  </si>
  <si>
    <t>• Devaluation of Expertise: Translators feel their role is being devalued by internal clients who use MT (like DeepL Pro) themselves and then ask for "simple proofreading," often without providing the source text.
• The "Bilingual Secretary" Percepton: There is a fear that translators are increasingly seen as "bilingual secretaries" whose only job is to fix the machine's major mistakes.
• Job Security: Perceptions of the future are "sombre," with concerns about staff decreases and the potential "death" of professional translation as humans are sidelined in the communication process.</t>
  </si>
  <si>
    <t>• Linguistic Impoverishment: Respondents expressed significant concern that MT leads to poorer quality and stylistic impoverishment. They fear "post-editese"—a standardized, artificial language with a less varied vocabulary.
• Cognitive Fatigue: Using MT is perceived as a barrier to creativity, often "imprisoning" the translator within the machine's suggested structure. It is also associated with increased fatigue due to the high concentration required to spot elegant but incorrect MT errors.</t>
  </si>
  <si>
    <t>• High Usage Rates: Approximately 50.23% of respondents use MT daily, and another 22.33% use it a few times a week. This is significantly higher than adoption rates reported in broader European surveys.</t>
  </si>
  <si>
    <t>• Novel Pedagogical Models: The study concludes that AI will continue to produce novel techniques and innovative models for teaching, fostering collaborations that advance the entire discipline of translation studies.</t>
  </si>
  <si>
    <t>• Expansion of the Field: The empirical evidence shows a statistically significant association between the application of machine learning algorithms and the expansion of the translation sector, alongside a rise in the number of human translators,,.</t>
  </si>
  <si>
    <t>• Validation of AI Benefits: Statistical analysis (t-tests) validated that AI integration significantly improves the speed and precision of the translation process and the training of professionals.</t>
  </si>
  <si>
    <t>• Global Recognition: The authors conclude that the use of AI models correlates positively with the global recognition of the translation industry,. The field is increasingly viewed as a primary and lucrative profession rather than just a supplementary business activity.
• Investment and Productivity: Integration makes translation activities more appealing to investors, which is expected to enhance communication models and overall industry productivity,,.
• Workforce Development: Contrary to fears of replacement, the study concludes that AI integration will actually attract more students to the field, thereby generating a larger workforce for the translation business.</t>
  </si>
  <si>
    <t>• Quality of Graduates: The researchers conclude that incorporating AI into university curricula has a favourable impact on the quality of graduates,. This is supported by practitioners and scholars who recognise that AI tools are essential for training modern translation experts.
• Teaching and Learning: AI has effectively facilitated the teaching and learning of translation at the university level, providing enhanced pedagogical practices and better educational outcomes,.
• Precision and Accuracy: The study confirms that AI-powered instruction leads to a notable improvement in translation precision and accuracy, likely because students and graduates use these tools to refine their skills,,.</t>
  </si>
  <si>
    <t>The descriptive statistics indicate that the perspective of stakeholders is predominantly positive,. Despite some noted concerns in the literature regarding job displacement and cultural nuances, the study's data shows a substantial consensus that AI serves as a revolutionary tool for enhancing efficiency, innovation, and productivity within the sector.</t>
  </si>
  <si>
    <t>• Hypothesis 2 (Business Growth): The empirical evidence suggested a significant association between machine learning algorithms and the expansion of the translation field. The study rejected the null hypothesis, finding that AI capacity generates advantageous consequences for the industry and the number of human translators,.</t>
  </si>
  <si>
    <t>• Hypothesis 1 (Speed and Precision): Using a "one-sample t-test," the researchers found that mean scores were significantly higher than neutral, with p-values less than 0.05. This supports the conclusion that AI improves the speed and accuracy of translation and the training of experts.</t>
  </si>
  <si>
    <t>• Global Recognition: More than 53% of stakeholders believe there is a positive correlation between the use of AI models and the global recognition of the translation industry,,.
• Attracting Investment: Over 53% of the study population affirmed that the integration of AI models by universities makes translation activities more appealing to investors,,.
• Workforce Growth: Over 56% of respondents agreed that AI integration would attract more students to study translation, thereby generating a larger workforce for the business,.</t>
  </si>
  <si>
    <t>• Quality of Graduates: A significant majority of the sample (over 64%) argued that the integration of AI has had a positive impact on the quality of graduates in the field of translation,,.
• Precision and Accuracy: Over 70% of participants affirmed that the incorporation of AI into the teaching of translation studies has led to an enhancement in translation precision and accuracy,,.
• Facilitation of Learning: Approximately 74% of respondents agreed that AI has effectively facilitated the teaching and learning of translation at the university level,,.</t>
  </si>
  <si>
    <t>• Reasons for Refusal: Among those who refuse MTPE assignments from clients, the primary reasons are low rates (44.62%) and a general refusal to do the work (48.21%). Qualitative comments described post-editing as "soul destroying" and noted that it often takes more time than translating from scratch.</t>
  </si>
  <si>
    <t>• Widespread Use: The study found that 69.54% of respondents use MT at some point in their translation workflow.</t>
  </si>
  <si>
    <t>• Future Training: Professional development should focus on domain specialization and "critical assessment" of tools, ensuring that the development of core language and strategic competences is not sidelined by a focus on automation.</t>
  </si>
  <si>
    <t>• There is a persistent risk of an "impoverishment of language" and a shift toward more literal or unnatural syntax if translators become over-reliant on machine proposals.</t>
  </si>
  <si>
    <t>Human expertise is specifically required to:
• Identify "unpredictable" NMT errors that are often "hidden in plain sight" because the output sounds fluent even when it is inaccurate.
• Manage the increased cognitive load and "extreme vigilance" required when interacting with machine suggestions.</t>
  </si>
  <si>
    <t>2. The Emergence of "Augmented Translation"
The researcher argues for a revised concept of translation that acknowledges a "hybrid and dynamic mix" of translational actions. In this paradigm:
• Translators are not merely "post-editors" but are "augmented" by a variety of inputs (TMs, NMT, and personal research) while remaining "in the loop" to exercise expert judgment.
• The paradigm of recycling and validating segments (similar to the long-standing use of Translation Memories) still prevails in institutional settings over building translations from scratch.</t>
  </si>
  <si>
    <t>4. Reinforced Importance of Human Competence
Contrary to fears of devaluation, the study concludes that NMT has reinforced the need for solid human translation competence.
• Top Result: The statement that MT has "reinforced the need for solid translation competence and subject matter knowledge" received the highest level of agreement (2.40) in the entire survey.</t>
  </si>
  <si>
    <t>• The "Hidden in Plain Sight" Risk: A major result was the high agreement (2.36) that MT carries a significant risk of overlooking inaccuracies. Because NMT output often "sounds fluent" and is grammatically correct, errors in meaning can be harder to spot than in human translations.
• Impoverishment of Language: Many translators expressed concern that the pressure to accept MT suggestions leads to an impoverishment of the target language and more literal, less natural sentence structures.</t>
  </si>
  <si>
    <t>• Productivity Gains: There was strong agreement that MT has improved productivity (average 2.10) and provides overall advantages (2.02).</t>
  </si>
  <si>
    <t>• The Problem of Inconsistency: Inconsistencies were flagged as the most frequent issue across all institutions (average rating of 2.27), with nearly half of respondents encountering them "very often".
• High-Frequency Errors: Other significant issues included idiomaticity or style (2.13), inappropriate terminology (2.06), and non-conformity to institutional conventions (2.01).
• The "Curse" of Sentence Length: Qualitative data confirmed that NMT quality drops significantly in long or complex sentences, where the system often fails to understand logical relationships or omits parts of the text.</t>
  </si>
  <si>
    <t>5. Proactive Adaptation and Upskilling
Despite the "doom and gloom" sentiment, the survey concludes that the majority of professionals are choosing to adapt rather than exit immediately,:
• Upskilling: A significant 72% intend to acquire new skills to remain competitive.
• Diversification: Over half (57%) are considering developing another main activity or changing their professional focus to new services or client sectors.
• Continuous Professional Development (CPD): There is a heightened focus on sales and marketing training, alongside subject-matter expertise, as professionals attempt to regain control over their business prospects.</t>
  </si>
  <si>
    <t>Economic instability is at the core of freelancer anxiety:
• Low Satisfaction: Only 57% of respondents reported earning enough from their freelance work to feel satisfied, with translators and those with mixed profiles (translator-interpreters) reporting lower satisfaction than standalone interpreters.
• Stress Factors: The top stressors for 2025 are pay/rates (61%), the cost of living (54%), and the economic climate (51%), closely followed by the rise of MT/AI.</t>
  </si>
  <si>
    <t>• LSC Relationship Crisis: There is a profound sense of being "trapped" in a system where it is virtually impossible to negotiate rates, payment terms, or general conditions with large Language Service Companies (LSCs),. This has led many to plan an accelerated shift toward finding direct clients instead.</t>
  </si>
  <si>
    <t>• Price Erosion: Freelancers expect further price erosion in 2025 and report that competition is increasing even as the total number of providers in the market slightly drops,.</t>
  </si>
  <si>
    <t>• Negative Sentiment: Independent professionals hold the most negative views on AI and MT in the industry, with 60% viewing these technologies as a negative trend, compared to more balanced views from language companies,.</t>
  </si>
  <si>
    <t>• The Post-Editing Trap: Professionals report a frustrating shift from human translation to "discounted and less-valued post-editing," which is seen as a root cause of income loss,.</t>
  </si>
  <si>
    <t>1. Erosion of Career Sustainability
The most striking conclusion is that, for the first time in the survey's history, the belief that freelancing is a viable long-term career has dropped below 50%. This loss of confidence is pervasive across all levels of experience, but it is most acute among junior professionals (less than two years of experience), whose confidence in financial sustainability plummeted to 41%,. Consequently, nearly one in four (23%) independent professionals is considering ending their freelance career entirely,.</t>
  </si>
  <si>
    <t>• Upskilling: To combat the decline, 72% of professionals plan to acquire new skills, and 57% are considering developing a different main activity.
• Training Focus: Continuous Professional Development (CPD) in 2024 focused heavily on subject matter expertise, followed by technology, generative AI, and sales/marketing.</t>
  </si>
  <si>
    <t>• "Reckless" AI Usage: Professionals blame the indiscriminate use of AI by clients for lower work volumes and the loss of income.
• Lack of Negotiating Power: It is reported as virtually impossible to negotiate rates, payment terms, or general conditions with large language companies (LSCs), leading to a sense of being "trapped" in the system.</t>
  </si>
  <si>
    <t>• The "Post-Editing" Shift: Professionals express deep frustration over the generalised move from human translation to discounted post-editing, which they feel devalues their work.</t>
  </si>
  <si>
    <t>• Widespread MT Use: Machine translation (MT) is now used in more than 50% of professional translation work.
• Voluntary Adoption: Professionals are increasingly using MT on their own initiative; 69% now choose to use it, and 29% use it in at least half of their projects.
• Generative AI Integration: AI has reached a 43% actual use rate among independent professionals, primarily serving as an alternative to dedicated MT or as a tool for editing and quality control.</t>
  </si>
  <si>
    <t>• Revenue and Pricing Drop: Professionals reported a notable decrease in their 2024 revenue (a score of -0.31 on a -2 to +2 scale) and expect further price erosion in 2025.</t>
  </si>
  <si>
    <t>• Income Satisfaction: Only 57% of respondents reported earning enough from their freelance work, with translators and those with mixed profiles reporting lower satisfaction than interpreters.</t>
  </si>
  <si>
    <t>• Considering Exit: Approximately 23% of independent professionals are considering ending their freelance activity due to the deteriorating work environment.</t>
  </si>
  <si>
    <t>• Declining Viability: For the first time in the survey's history, the belief that freelancing is a viable long-term career option has dropped below 50%.</t>
  </si>
  <si>
    <t>The study concludes that machine translation (MT) has become an inescapable reality within the Basque community, with the technology now being used by individuals of all backgrounds regardless of their language specialisation.</t>
  </si>
  <si>
    <t>• Professional Perspective: Translators in focus groups expressed specific worries that MT might lead to "vicious circles" where linguistic and stylistic resources remain undeveloped, or where the Basque administrative style is disrupted by patterns learned from previous training corpora.</t>
  </si>
  <si>
    <t>• Language Quality and Stylistics: There is significant concern regarding the impact on the development of the Basque language. While half of the general respondents believe quality will not be affected, 67.35% of professional translators and interpreters fear that the quality of Basque texts will drop due to MT use.</t>
  </si>
  <si>
    <t>• Increased Visibility: Approximately 77% of respondents believe MT will increase the visibility of Basque by allowing more texts to be translated into the language.</t>
  </si>
  <si>
    <t>• Usefulness: The overall attitude towards the technology is remarkably positive; 91.39% of total respondents consider MT useful either "sometimes" or "very often".</t>
  </si>
  <si>
    <t>• Adoption Rates: Approximately 72.18% of all respondents acknowledge using MT for Basque, with 26.25% using the technology "very often".</t>
  </si>
  <si>
    <t>translators with positive pre-task perceptions obtained better translation quality and productivity scores.</t>
  </si>
  <si>
    <t>translators who thought that MT was a threat to their profession or distrusted MT as an aid in their work obtained lower quality and productivity scores.</t>
  </si>
  <si>
    <t>• The "Threat" Factor: Conversely, translators who perceived MT as a threat to the sustainability of the profession produced lower quality work and translated more slowly,. This negative perception had a strong negative correlation with both adequacy and fluency.</t>
  </si>
  <si>
    <t>• Trust as a Catalyst: Translators with higher levels of trust in MT produced translations with higher quality and productivity,. Trust showed a strong correlation with adequacy and a moderate correlation with fluency and productivity.</t>
  </si>
  <si>
    <t>• Beyond raw speed, the psychological benefit of having a "foundation" to build upon—avoiding the daunting nature of a "blank page"—is a major factor in the tool's acceptance.</t>
  </si>
  <si>
    <t>• Deceptive Fluency: Finnish translators noted a specific risk with NMT: it produces fluent but inaccurate text that can "hide serious mistakes" which are only spotted upon deep inspection.</t>
  </si>
  <si>
    <t>• Top Motivator: The reduction of typing effort was the most frequently cited reason for preferring MT.
• Psychological Base: Translators highlighted the reassurance of "not having to start from scratch," describing the MT output as a "foundation" or "base" that makes the work feel partly done.</t>
  </si>
  <si>
    <t>• Technology as a Stressor: Similar to the Danish and Swiss studies in our conversation history, the sources conclude that machine translation (MT) and CAT tools are significant stressors. Translators feel technology is "driving down income" and "increasing turnaround times," particularly affecting those with many years of experience.</t>
  </si>
  <si>
    <t>• The Technology Factor: a portion of respondents (4%) specifically identified machine translation and CAT tools as stressors, noting that technology is "driving down income" and "increasing turnaround times".</t>
  </si>
  <si>
    <t>4. Illusory Cost-Effectiveness and Sustainability
The researcher concludes that the perceived cost-effectiveness of AI translation may be illusory. Low-quality output leads to time-consuming post-editing, which limits overall efficiency. Furthermore, the industry is encouraged to evaluate the environmental sustainability of AI—noting its high energy and water consumption—rather than focusing solely on performance parameters.</t>
  </si>
  <si>
    <t>2. The Competence and Knowledge Gap
A major conclusion is that the current use of GenAI remains modest due to a significant knowledge gap among both professional translators and students. Specifically:
• Many practitioners lack the skills for advanced tasks like terminology extraction.
• There is a notable lack of awareness regarding data security, privacy policies, and work ethics.
• This deficiency calls for an urgent revision of university study programmes and the creation of upskilling workshops that cover AI advancements, hands-on practice, and legal frameworks like the EU AI Act.</t>
  </si>
  <si>
    <t>1. Redefinition of the Translator’s Role
The author concludes that the constitutive elements of the translation system have fundamentally changed. The human translator is increasingly viewed as an agent who operates the system—responsible for pre-editing, tool operation, and post-editing—rather than just the primary creator of the text. In some instances, the machine translation tool may replace the human altogether.</t>
  </si>
  <si>
    <t>• Arguments for AI Replacement: These revolve around the rapid progress of the technology, its cost-effectiveness, and the shift of the human role toward mere supervision. Some respondents noted that AI translations are already "almost perfect" even for complex languages like Polish.
• Arguments for Human Indispensability: Proponents of human necessity cited the unique human ability to translate emotions, nuances, and cultural cues. They also highlighted the "insurmountable" issue of AI hallucinations and the legal requirement for human verification in fields like sworn translation.</t>
  </si>
  <si>
    <t>• Overall Outlook: 52% believe human translators will always be essential, while 43% foresee a future where AI can fully replace them.</t>
  </si>
  <si>
    <t>3. Ethics and Confidentiality
• Confidentiality: Opinions on whether AI use breaches confidentiality are divided: 25% believe it is a breach, 25% believe it is not, and 30% have no attitude or knowledge on the matter.
• Work Ethics: A majority (55%) of respondents claim that using AI-powered tools does not breach their work ethics, while 22.5% believe it does.</t>
  </si>
  <si>
    <t>• Skill Deficits: The researcher identified a significant competence gap ranging from 35% to 58% across various tasks. Notably, 58% of respondents lack the knowledge or skills to perform terminology extraction using GenAI.</t>
  </si>
  <si>
    <t>• Adoption Rates: Exactly 50% of all participants use AI-powered chatbots. Adoption is slightly higher among translation students (58%) than among professional translators (47.5%).</t>
  </si>
  <si>
    <t>A Shift in Professional Identity: Ultimately, the study concludes that a deeper understanding of AI-related ethical concerns and codes of conduct will be "transformational". By embracing a hybrid model of human-AI collaboration while holding industry to account, translators can harness the benefits of automation without compromising their integrity or accountability.</t>
  </si>
  <si>
    <t>Need for Mandated AI Literacy: To address the "rapidly changing AI landscape," the authors conclude that professional bodies like the CIOL should mandate AI ethics modules in their certification processes
. These modules should cover specific practical areas such as GDPR compliance, bias detection, and cultural sensitivity in post-editing.</t>
  </si>
  <si>
    <t>Indispensability of Human Agency: A central conclusion is that human intervention remains a "must" to prevent erroneous, biased, or culturally irrelevant outputs. The researchers advocate for a "human-in-the-loop" paradigm where the skilled translator takes the lead, particularly when handling sensitive cultural nuances or ethical matters.</t>
  </si>
  <si>
    <t>The Primacy of Confidentiality: The research concludes that maintaining confidentiality and securing personal data are the most critical ethical concerns for modern translators. The study identifies a "wealth of good practice" among experienced professionals—including the use of encryption, pseudonymization, and offline tools—which should be shared to establish industry-wide ethical standards.</t>
  </si>
  <si>
    <t>AI Literacy: There is a "clear consensus" that translators need urgent training in data protection, bias detection, and understanding the technical limitations of AI systems.
Practical CPD: Participants advocated for Continuous Professional Development (CPD) that focuses on concrete examples and "sound practices" rather than just theoretical considerations.
Certification Standards: The study suggests that organizations like CIOL should mandate AI ethics modules in their certification processes to cover topics like GDPR compliance and cultural sensitivity in post-editing.</t>
  </si>
  <si>
    <t>Loss of Nuance and Bias: Participants highlighted that AI often struggles with figurative language, cultural nuances, and gender bias, making human ethical oversight essential to prevent "ideologically suspect" or inaccurate versions.</t>
  </si>
  <si>
    <t>Data Vulnerability: The primary concern identified is the security of sensitive personal and corporate data (e.g., financial info, patents, medical records). Participants noted that many AI tools require uploading text to cloud servers, which increases the risk of unauthorized access and privacy breaches.
Non-consensual Training: A significant result is the fear that AI models may store submitted text for training purposes, effectively using a client's proprietary information to improve the AI without consent or encryption.</t>
  </si>
  <si>
    <t>• The Risks of Poor Quality: There is a significant fear that poor-quality MT could "distort the proper use of the language" and cause learners to "learn in the wrong way".</t>
  </si>
  <si>
    <t>• Widespread Approval: Surprisingly, a strong majority of participants view MT for their languages positively and believe such systems would be beneficial.</t>
  </si>
  <si>
    <t>• Devaluation and Disrespect: Much like the Swiss study we discussed earlier, Dasse concludes that there is a profound loss of prestige. Society and clients increasingly view the translator's input as "cosmetic" and believe that any bilingual individual can achieve similar results for free using AI.</t>
  </si>
  <si>
    <t>• The Seven "Forms of Death": The core conclusion is that translators have suffered seven distinct types of metaphorical death: the loss of monopoly over the act of translating, the loss of the title "translator," and the loss of style, voice, identity, prestige, security, and income.</t>
  </si>
  <si>
    <t>• Revenue Impact: 58.8% of respondents reported that their revenue has dropped since the advent of AI-powered MTEs.</t>
  </si>
  <si>
    <t>The study reveals a profound sense of panic regarding the future of the profession.
• The Post-Editor Future: 73.6% of respondents believe that the industry of tomorrow will need post-editors rather than human translators.
• Low Confidence: Only 12.4% of participants reported being "extremely confident" about the mid-term viability of the profession.</t>
  </si>
  <si>
    <t>A significant majority (78.8%) of respondents report feeling less respected by society since the advent of MT.
• Devaluation of Skill: The results suggest that the "man in the street" now falsely believes any bilingual can translate using free tools.
• Disrespectful Practices: Translators report that clients increasingly view their input as "cosmetic" and frequently request the post-editing of tens of thousands of words in 24 hours for "trifling compensation".</t>
  </si>
  <si>
    <t>• Positive Appraisal of MT: 35.1% of respondents think highly of MT’s helpfulness, compared to only 7.3% who find it not helpful at all.</t>
  </si>
  <si>
    <t>• Heavy Reliance: Data shows that 74.2% of respondents often use machine translation engines (MTEs) in their projects. Consequently, the researcher describes human translators as having transitioned from authors to mere "meaning checkers".</t>
  </si>
  <si>
    <t>• Acceptance of Change: While initially hesitant, translators’ dispositions have evolved to accept the role of post-editor as a survival strategy to ensure they are not "left out of the system" in the future.</t>
  </si>
  <si>
    <t>• Correlation with Satisfaction: There is a direct correlation between financial satisfaction and tool adoption; because PE allows for faster translation with less effort, it increases throughput and total earnings.</t>
  </si>
  <si>
    <t>• Professional Satisfaction: While some find traditional translation more "enjoyable," 60% find PE more satisfying specifically due to its speed and financial rewards.</t>
  </si>
  <si>
    <t>• PE vs. CAT Tools: Participants generally preferred PE over traditional translation with CAT tools because it is "easier" and less tiring.</t>
  </si>
  <si>
    <t>2. Professional Identity: An Adaptive "Habitus"
• Adaptability: The study concluded that translators have a "structured and structuring" habitus that has successfully adapted to the new requirements of the field.
• Acceptance of New Roles: Rather than resisting the machine, translators have developed a "translatorial habitus" that accepts the role of post-editor to remain competitive in the market.
• Opportunity vs. Threat: 60% of participants view PE as an opportunity, citing that it allows them to handle larger volumes of work in less time.
• Survival Instincts: Resistance to technology was found to be a "primitive impulse" linked to the fear of losing one's job rather than a rejection of the tool itself; once translators realized they could earn more through PE, their attitudes shifted to positive.</t>
  </si>
  <si>
    <t>• Time as Value: Respondents view time as the primary definer of value; because PE allows for faster translation with less effort, it leads to higher throughput and increased financial gain.</t>
  </si>
  <si>
    <t>• High Financial Satisfaction: A core result is that 60% of respondents are satisfied with the economic profitability of PE projects.</t>
  </si>
  <si>
    <t>translators who have a firm grip on the latest technologies may well replace those who reject them.
5. The Necessity of Upskilling
Finally, the study concludes that practitioners must upskill and embrace technology to understand their new roles in the market. This includes learning precisely where AI-based translation tools excel and where they face problems. By repositioning themselves into emerging roles—such as localization, post-editing, and quality assurance—Libyan translators can secure their future in the "Human-Machine Era".</t>
  </si>
  <si>
    <t>AI tools are specifically noted for their deficiencies in handling culturally specific or domain-specific texts. Interviews with professionals highlighted that machines still struggle with:
Contextual nuances and political information.
Double and hidden meanings, jargon, and idiomatic expressions.
Emotional features such as humor or sarcasm.
Creative polishing and capturing the unique "spirit" of a source text.</t>
  </si>
  <si>
    <t>A primary conclusion is that AI is not necessarily a replacement but a force transforming the translation industry. It is opening new avenues for practitioners by enhancing CAT tools and promoting more efficient human-machine collaboration. The researchers emphasize that the future of the profession lies in this dynamic partnership, where tools automate repetitive tasks while human intervention remains necessary for optimal results.</t>
  </si>
  <si>
    <t>The study concludes that there is an overall tendency for translators in Libya to be open toward using AI-powered tools. This is evidenced by the fact that 72.3% of the respondents have already tried using at least some AI-powered applications. While attitudes vary widely—ranging from highly satisfied to very concerned—the prevailing view is that AI is a potentially very useful aid in professional practice.</t>
  </si>
  <si>
    <t>The Need for Validation: A critical consensus among respondents is that all AI-generated content must be validated by humans to ensure quality and address socio-cultural contexts.</t>
  </si>
  <si>
    <t>Cultural and Contextual Struggles: Participants noted that AI output is often defective when handling idiomatic expressions, culture-specific terms, and specialized domains like politics.
Lack of Nuance: Interviewees expressed suspicion regarding AI's ability to accurately recognize humor, sarcasm, or emotional nuances.</t>
  </si>
  <si>
    <t>a larger group (54.3%) is certain that AI will eventually have a negative impact on the translation market and job opportunities.</t>
  </si>
  <si>
    <t>High Efficiency Ratings: 54.3% of participants are completely satisfied with integrating GenAI into their workflows, primarily because it increases efficiency.
Productivity Gains: Respondents highlighted that AI tools save time and effort (22.9%) and accelerate the overall translation process (14.3%).
Overall Sentiment: When asked about general satisfaction with recent technological advancements, 60% of respondents reported being either "very satisfied" or "satisfied".</t>
  </si>
  <si>
    <t>Widespread Trialing: 72.3% of respondents have tried using at least some AI-powered tools.</t>
  </si>
  <si>
    <t>4. Limitations of Current Training Models
The survey revealed no apparent relationship between having received technology training and the actual use of specialised translation tools. This led the author to conclude that current training models may need to be rethought for literary translators, focusing more on awareness-raising, sharing best practices, and highlighting the "affordances" (potential uses) of various tools.</t>
  </si>
  <si>
    <t>However, there is little use of more specialised technologies like Translation Memory (TM) or Machine Translation (MT), which are often perceived as unsuitable for the stylistic complexities of literary texts.</t>
  </si>
  <si>
    <t>• Lack of Familiarity: Over 40% of those who do not use CAT tools reported that they either did not know what the tools were or did not know how to use them.</t>
  </si>
  <si>
    <t>• Cost: The high price of specialized platforms (sometimes exceeding $1,000 per year) is a significant deterrent for a profession that is generally not high-earning.</t>
  </si>
  <si>
    <t>• Suitability: The most common reason for rejection is the belief that these tools are not suitable for literary work, often due to the perceived lack of repetition in the genre.</t>
  </si>
  <si>
    <t>• Machine Translation (MT): Use of MT is similarly low, with 70% stating they never use it.</t>
  </si>
  <si>
    <t>The study concludes that these empirical findings should serve as a reference point for tailoring translator training programs to meet market demands.
• Integrated Approach: Training should go beyond basic industry requirements to focus on a broader scope of competences, including terminology, translation technology, and project management.
• Balancing Expectation and Agency: The author concludes that academia must find a balance between teaching what the industry expects and enhancing trainees' expertise so that they can "go beyond such expectations" and exert more control over the MTPE process.</t>
  </si>
  <si>
    <t>A salient conclusion is the strong trend towards "full PE" assignments. The sources indicate that the industry is moving away from "light" edits toward requiring "human-like" output quality, particularly for IT-related content. This shift suggests that the market increasingly views MTPE as a viable method for producing high-quality final products rather than just "gist" translations.</t>
  </si>
  <si>
    <t>The study found a much higher frequency of "full PE" assignments (aiming for human-like quality) compared to "light PE". Nearly half of the respondents perform light PE in fewer than 10% of their projects, while performing full PE in more than 70% of their projects.</t>
  </si>
  <si>
    <t>Finally, the study concludes that human translators remain indispensable for crisis communication because they possess the cultural agency that machines lack.</t>
  </si>
  <si>
    <t>• Quality vs. Speed: Despite the time-saving potential of MT, translators reject it as a "quick and cheap" option because they believe the extensive post-editing required negates the efficiency gains.
• Technological Distrust: Resistance is driven by a high level of awareness of the semantic and syntactic limitations of Arabic Machine Translation (AMT), which struggles with the language's complex system of diacritics and flexible word order.</t>
  </si>
  <si>
    <t>The researchers conclude that Jordanian translators are largely unwilling to adopt MT as a primary tool for crisis translation.
• Quality vs. Speed: Despite the time-saving potential of MT, translators reject it as a "quick and cheap" option because they believe the extensive post-editing required negates the efficiency gains.
• Technological Distrust: Resistance is driven by a high level of awareness of the semantic and syntactic limitations of Arabic Machine Translation (AMT), which struggles with the language's complex system of diacritics and flexible word order.</t>
  </si>
  <si>
    <t>• Awareness of Limitations: There was an overwhelming consensus regarding the technical shortcomings of Arabic MT: 90.6% agreed on its semantic limitations and 87.7% agreed on its syntactic limitations.</t>
  </si>
  <si>
    <t>• Resistance to Automation: Approximately 60% of respondents disagreed with using MT as a "quick, cheap, and accessible" option. A similar majority (60.4%) disagreed with frequently using MT for directional translation in either language pair.</t>
  </si>
  <si>
    <t>• Continuous Training: Investing in "upskilling" to incorporate AI as a competitive tool rather than a replacement.</t>
  </si>
  <si>
    <t>• Economic Impact: The study concludes that increased speed and automation are likely to lead to a severe reduction in prices and a devaluation of human expertise.</t>
  </si>
  <si>
    <t>• The "Post-Editor" Trap: Professionals fear being relegated to "mere reviewers" of machine output, which they associate with lower quality standards and reduced fees.</t>
  </si>
  <si>
    <t>A primary conclusion is the existence of a substantial disconnect between "awareness" and "technical knowledge". While 67% of professionals feel familiar with AI, nearly three-quarters cannot identify whether their daily tools use AI or simple automation. The study concludes that this lack of technical knowledge directly correlates with a lack of trust in the technology.</t>
  </si>
  <si>
    <t>Ultimately, the study found that professionals who are less familiar with AI and have lower technical knowledge are significantly more likely to lack trust in the technology and predict negative future outcomes for the profession.</t>
  </si>
  <si>
    <t>• Reconfiguration to Post-Editing: Many professionals fear that their careers are being reconfigured from "translators" to "mere text editors" or post-editors, which they associate with lower quality standards and depreciated fees.</t>
  </si>
  <si>
    <t>• Major Concerns: The most critical concerns voiced by experts include the devaluation of human expertise (31.82%), a reduction in income (20.45%), and the fear that AI will eventually replace human experts (20.45%).</t>
  </si>
  <si>
    <t>• Pessimistic Outlook: In contrast to the Bulgarian study mentioned in our conversation history, 46% of Portuguese respondents foresee a negative or very negative impact on the market, while only 38% expect a positive outcome.</t>
  </si>
  <si>
    <t>• Negative/Limited Impact: Tasks considered less suitable for AI include interpretation and subtitling. This is attributed to the complexity of human variables such as tone and pronunciation in interpreting, and the strict technical rules required for subtitling.</t>
  </si>
  <si>
    <t>• Positive Impact: The tasks seen to benefit most from AI are transcription, translation of general topics, and terminology management.</t>
  </si>
  <si>
    <t>• Frequency of Use: Professionals use AI technologies "sometimes," which the study defines as roughly 25% to 50% of their working time.</t>
  </si>
  <si>
    <t>• Knowledge Gap: Despite this familiarity, 73.2% of professionals were unable to identify whether the tools they use most frequently are supported by AI, automation, or both.
• Poor Quiz Performance: In a test where participants had to classify nine common tools (e.g., Trados, DeepL, ChatGPT), the global average score was very low, at just 1.97 out of a possible 9 points. Over half of the sample (54.9%) received a grade of "Very Poor".</t>
  </si>
  <si>
    <t>• Education: Given that the predominant attitude among those willing to engage with the technology is a desire for more knowledge, the study suggests a need for proper training to help translators navigate the intersection of their physical and digital environments effectively.</t>
  </si>
  <si>
    <t>• Regulation: There is an urgent need to regulate AI practices in publishing to ensure that technological progress is both ethical and economically viable for human creators.</t>
  </si>
  <si>
    <t>The study warns of a deep-seated unease regarding the impact of GenAI on future careers. Much of the pessimism and critical sentiment is rooted in ongoing poor working conditions, such as declining rates and increased pressure on working hours.</t>
  </si>
  <si>
    <t>• Limited Perceived Utility: The benefits of GenAI are seen as very restricted, mostly confined to documentation support and providing stylistic suggestions rather than aiding the core creative act.</t>
  </si>
  <si>
    <t>• Ethical Priority: For most practitioners, ethical concerns outweigh any perceived benefits. Concerns regarding the loss of translation quality, copyright infringement, and the standardisation of literary language are paramount.</t>
  </si>
  <si>
    <t>• Comfort Gap: While translators feel at ease with general word processors and databases, the vast majority (62.7%) feel uncomfortable applying AI to their creative work processes.</t>
  </si>
  <si>
    <t>3. Resistance to Generative AI
In contrast to general technology, the sources conclude that AI-based tools like chatbots are rarely perceived as allies.</t>
  </si>
  <si>
    <t>2. Notable Rise of Machine Translation (MT)
A key conclusion is the significant rise in the integration of MT systems into the workflow of literary translators. With nearly half of the respondents using systems like DeepL or Google Translate, the authors note a shift in mentality likely caused by the increased sophistication of these tools and their global adoption in the broader translation market.</t>
  </si>
  <si>
    <t>• Optimistic (9.9%): A small minority see GenAI as just another useful tool for research and context-appropriate language use.</t>
  </si>
  <si>
    <t>• Critical (11.7%): View AI as a "bubble" or a dangerous tool used by tech companies to exploit workers.</t>
  </si>
  <si>
    <t>Pessimistic (25.5%): Fear that AI will devalue expertise and lead to poor-quality machine-translated texts.</t>
  </si>
  <si>
    <t>Environmental impact of resource-intensive AI models (70.6%).</t>
  </si>
  <si>
    <t>Reduced recruitment of human translators (84.3%).</t>
  </si>
  <si>
    <t>Poor working conditions and reduced rates (88.2%).</t>
  </si>
  <si>
    <t>Ethical and legal issues, such as copyright and data privacy (88.2%).</t>
  </si>
  <si>
    <t>Loss of translation quality (94.1%).</t>
  </si>
  <si>
    <t>The few who identified benefits cited stylistic suggestions (33.3%), documentation support (33.3%), and time-saving (25.5%).</t>
  </si>
  <si>
    <t>Nearly half (47.1%) of the participants believe there are no advantages to using GenAI in their field.</t>
  </si>
  <si>
    <t>Scepticism prevails, with 64.7% of translators holding a negative opinion regarding the inclusion of GenAI in publishing processes.</t>
  </si>
  <si>
    <t>a vast majority (62.7%) stated they never feel comfortable using GenAI specifically in literary translation.</t>
  </si>
  <si>
    <t>However, 27.5% reported a negative impact on their professional setting (rates, workflow, or quality).</t>
  </si>
  <si>
    <t>Use of Machine Translation (MT) systems has risen significantly to 47.1%, a sharp increase compared to previous benchmark studies.</t>
  </si>
  <si>
    <t>6. Need for Ethical and Professional Frameworks
Finally, the study concludes that for technology to remain an opportunity rather than a threat, all stakeholders (translators, employers, and clients) must use it correctly and ethically. There is a pressing need for clear post-editing guidelines, which the study found are currently almost non-existent in professional practice.</t>
  </si>
  <si>
    <t>Because medical translation is a "safety-critical" field where errors can lead to serious harm, the researcher concludes that human intervention is more vital than ever. Although Neural MT (NMT) produces fluent output, this fluency acts as a "double-edged sword" by masking meaning errors and misinterpretations that only a qualified professional can detect.</t>
  </si>
  <si>
    <t>• Disadvantages: Concerns were raised regarding "intellectual laziness," the loss of the creative essence of translation, and the potential for professional precariousness as agencies use MT to justify lower rates and tighter deadlines.</t>
  </si>
  <si>
    <t>• Benefits: Beyond speed and productivity, translators highlighted ergonomic benefits, such as reduced typing (improving physical well-being) and the reduction of the initial "mental effort" required to produce a first draft.</t>
  </si>
  <si>
    <t>• Hidden Errors: A critical finding is that while NMT produces fluent and natural-sounding output, this creates a "danger" because meaning errors and misinterpretations are harder to detect than in older, clunkier systems.
• Common Mistakes: Despite the apparent fluency, recurring errors include the mistranslation of specialised terms and acronyms, register mismatches, and various "calques" where the MT preserves English syntactic structures in Spanish.</t>
  </si>
  <si>
    <t>The study found that translators have intuitively developed the ability to assess the risk of a text before applying MT.
• High-Quality Genres: MT performs best in highly conventionalised, repetitive, or syntactically simple texts, such as package leaflets, instructions for use, institutional reports, and research articles.
• Low-Quality Genres: MT struggles with texts that are highly specialised (e.g., medical treatises), creative (e.g., marketing), or patient-centred (e.g., patient narratives and fact sheets), where empathy and nuanced communication are essential.</t>
  </si>
  <si>
    <t>• Daily Adoption: Eight out of the ten participants use MT daily. Key drivers include the need for increased productivity, client requests for post-editing (PE) services, and the direct integration of MT engines within their translation interfaces.</t>
  </si>
  <si>
    <t>5. Current Low Adoption vs. High Industry Hype
Finally, the study concludes that actual professional practice is currently trailing behind the "meteoric rise" of AI hype. Despite the prevalence of AI in industry discourse, 0% of respondents reported being forced to use generative AI or Large Language Models (LLMs) by their clients at the time of the survey, and general use of these tools remains relatively low at approximately 35.47%.</t>
  </si>
  <si>
    <t>The research concludes that professional experience is a significant factor in how translators navigate technological change. The data shows that a higher number of years in the profession correlates with:
• Higher reported levels of technological command.
• A stronger sense of current perceived control.
• Lower levels of imposition, meaning experienced translators feel less "forced" by clients or LSPs to use specific technologies.
• A more optimistic (or resilient) outlook regarding future control in the AI era.</t>
  </si>
  <si>
    <t>• Competence and Command: There is a weak positive correlation suggesting that more experienced translators report higher levels of technological command.
• Resilience to Imposition: More experienced translators are statistically less likely to feel that technologies are forced upon them by external agents.
• Future Optimism: Interestingly, those with more years in the profession reported higher expected levels of future control in the AI era compared to their less experienced colleagues.</t>
  </si>
  <si>
    <t>The sources report that professionals currently feel a strong sense of agency over their tools.
• Overall Agency: Perceived levels of overall control (76.08%) and professional autonomy (73.17%) were generally high.
• Internal Control (The "On/Off" Switch): The highest rating was for internal control (81.35%), which refers to a translator's ability to decide when to activate or deactivate specific technologies based on content type, task complexity, or even the time of day.</t>
  </si>
  <si>
    <t>• Adoption of Generative AI: Despite significant industry hype, only 35.47% of respondents have integrated LLMs like ChatGPT into their workflows, a figure that the sources note aligns closely with other large-scale studies.</t>
  </si>
  <si>
    <t>• Stakeholder Education: There is a critical need to educate clients and LSPs, who often have "overblown confidence" in AI's capabilities and expect unrealistic cost and speed savings.</t>
  </si>
  <si>
    <t>The Responsibility-Control Link
The author concludes that translators' desire for control is rooted in professional ethics and legal liability. Because the human translator remains the "final gatekeeper" who is legally responsible for the quality and cultural sensitivity of the final product, they believe they must retain the "last word" over all technological interventions.</t>
  </si>
  <si>
    <t>The "Death" of the Transfer Stage
The study identifies a profound fear regarding the shift from translation to post-editing. The researcher concludes that professionals perceive a potential loss of the "transfer" stage—the cognitive act of converting one language to another from scratch. There is a widespread concern that humans are being relegated to the role of "proofreaders" or post-editors of AI output, which many participants feel "blocks" their creative potential and original phrasing.</t>
  </si>
  <si>
    <t>4. Recommendations for Human-Centered Design
• Involvement in Development: Translators strongly advocate for collaboration with developers from the initial design stages, rather than simply being used to proofread AI output to perfect the engines.
• Desired Features: To feel "augmented" rather than replaced, translators recommend the development of adaptive and interactive technologies. Key features requested include the ability to fully configure tools, flexible "on/off" switches for AI interventions, and better integration with existing resources like terminology databases.</t>
  </si>
  <si>
    <t>• Economic Pressure: The results confirm ongoing concerns regarding downward pressure on rates and increased competition from those who accept lower-paying automation-heavy assignments.</t>
  </si>
  <si>
    <t>• The Communication Gap: The most frequent future challenge identified was communicating with stakeholders (clients and LSPs) to explain the value of the "human factor". Professionals struggle with clients' "overblown confidence" in AI and the expectation of "miracles" in terms of cost and speed.</t>
  </si>
  <si>
    <t>• Loss of the "Transfer" Stage: A key finding is the perceived loss of the ability to translate from scratch. Translators fear that AI will force them to work exclusively with pre-populated segments, effectively turning the "act of translating" into a permanent role as a proofreader or post-editor.
• Creativity Concerns: Many respondents reported that AI integration poses a threat to the creative potential of translation, as pre-processed suggestions may "block" their own original phrasing or cognitive processes.</t>
  </si>
  <si>
    <t>• Loss of the "Transfer" Stage: A key finding is the perceived loss of the ability to translate from scratch. Translators fear that AI will force them to work exclusively with pre-populated segments, effectively turning the "act of translating" into a permanent role as a proofreader or post-editor.</t>
  </si>
  <si>
    <t>2. Future Outlook and the "AI Era"
• Significant Decline in Perceived Control: Looking toward the future, participants reported much lower levels of expected control over AI-driven technologies (mean of 47.17/100).</t>
  </si>
  <si>
    <t>• High Current Agency: Participants reported generally high levels of perceived control (mean of 76.08/100) and autonomy (73.13/100) over their current workflows. This is especially true regarding the ability to "turn on and off" technologies depending on the specific task or document type.
• The Responsibility Link: A central result is that translators believe they must maintain control because they are legally and professionally responsible for the final outcome of the translation.</t>
  </si>
  <si>
    <t>Redefining Professional Resistance
Contrary to the idea that translators simply fear being replaced by robots, the study concludes that their primary fear is exploitation by "uninformed fellow human beings" (PMs and clients). Translators are not inherently resistant to the technology—as many are happy to use MT plugins in their own CAT tools—but they object to poor working conditions and the disregard for the human effort required to achieve high-quality results.</t>
  </si>
  <si>
    <t>Economic Inequity and the Shift to Hourly Rates
The research concludes that current payment models for MTPE are a major source of professional friction.
• Fair Compensation: PTs believe that hourly rates are much fairer than word rates because they more accurately reflect the unpredictable effort and cognitive load involved in post-editing.
• Intra-professional Tension: The study concludes that low rates are creating resentment among translators, who feel that colleagues accepting "ridiculously" low pay are "ruining the industry" and enabling poor working conditions.</t>
  </si>
  <si>
    <t>The Centrality of Trust and Transparency
The authors conclude that trust is the most critical factor in a translator's decision to accept or decline a post-editing task. This trust is multi-faceted, encompassing the PT's belief in the quality of the MT engine and their professional relationship with the project manager or agency. The study highlights a troubling lack of transparency, concluding that some PMs intentionally withhold information about the use of MT to increase task acceptance, which significantly damages the professional relationship and creates an atmosphere of uncertainty.</t>
  </si>
  <si>
    <t>• Peer Resentment: Tensions exist not only between translators and managers but also among translators themselves. Some respondents expressed frustration with colleagues who accept "ridiculously" low rates for time-consuming PE work, feeling that such practices "ruin the industry".
• Fear of Exploitation: Ultimately, the study concludes that translators' primary concern is not being replaced by machines, but rather being exploited by "uninformed fellow human beings" (PMs and clients) who disregard the significant effort required for high-quality post-editing.</t>
  </si>
  <si>
    <t>• Rate Fairness: Translators expressed a strong preference for hourly rates over word rates, arguing that they are much fairer given the complexity and unpredictable effort involved in post-editing.</t>
  </si>
  <si>
    <t>• Ethical Concerns: This lack of transparency raises serious ethical concerns regarding the trust relationship between stakeholders and suggests that PMs may not fully appreciate that the effort required for PE is fundamentally different from revising human translations.</t>
  </si>
  <si>
    <t>formal PE training significantly enhances task enjoyment and self-efficacy.</t>
  </si>
  <si>
    <t>The study concludes that targeted PE training is a highly effective tool for improving professional attitudes.</t>
  </si>
  <si>
    <t>• Post-editors feel more involved in producing the final content and often have the final say on the text since PE tasks are frequently left unrevised.</t>
  </si>
  <si>
    <t>A significant conclusion of the study is that post-editing offers a higher level of task identity and control over final quality compared to revision.</t>
  </si>
  <si>
    <t>The author concludes that because "translators must translate if they are to be ultimately satisfied", the industry-wide shift towards revision-related tasks (including PE) risks undermining the intrinsic satisfaction derived from the "art of translating". To combat the feeling of working on an "assembly line," the researcher suggests that jobs must be enriched rather than simplified, specifically by allowing linguists more autonomy to choose their own working methods and daily tasks.</t>
  </si>
  <si>
    <t>Linguists with prior professional experience in PE (gained before their current role) were significantly more satisfied with the task than those who started PE in their current company.</t>
  </si>
  <si>
    <t>• The Impact of Training: Linguists who received formal PE training reported statistically significant higher levels of enjoyment compared to those without training.</t>
  </si>
  <si>
    <t>Revision and PE both provide less control.</t>
  </si>
  <si>
    <t>PE allows for a higher level of task identity than revision, as post-editors feel more involved in producing the final content.</t>
  </si>
  <si>
    <t>the recognition of PE as a complex task requiring expertise is viewed as a positive shift in professional perception.</t>
  </si>
  <si>
    <t>PE ranks last, with 24% of participants explicitly disagreeing that it is creative.</t>
  </si>
  <si>
    <t>PE was significantly less appreciated (3.59/5).</t>
  </si>
  <si>
    <t>• Unacceptable Tools: Translation-specific tools (CAT and MT) are often viewed as a "hindrance" or an "intrusion" because they create a barrier between the translator and the text, potentially "standardising" a process that relies on subjectivity and individuality.</t>
  </si>
  <si>
    <t>those that are perceived to threaten their creative agency (like MT).</t>
  </si>
  <si>
    <t>• Conceptual Antithesis: Perceptions of CAT and MT were often based on the idea that these tools are the antithesis of literary translation, threatening to cause "standardisation and systematisation" in a field that relies on subjectivity.</t>
  </si>
  <si>
    <t>• Rejection of MT: Translators expressed the most negative attitudes toward Machine Translation (MT), which they viewed as an "intrusion" that removes individuality and creativity.</t>
  </si>
  <si>
    <t>view translation-specific tools (CAT and MT) with suspicion</t>
  </si>
  <si>
    <t>• Specialized Training: Introducing technology training that specifically addresses literary needs, as current lack of knowledge is a primary driver of friction.</t>
  </si>
  <si>
    <t>• Convivial Tools: Developing technology that values individual freedom and works with the human rather than as a substitute.
• Active Involvement: Moving translators from passive end-users to active participants in the research and development (R&amp;D) of translation tools.</t>
  </si>
  <si>
    <t>• Widening the Gap: Technology acts as a barrier when it mimics the "mechanical" perceptions held by outsiders (e.g., MT and CAT), which translators feel devalues their expertise and treats their art as "glorified data entry".</t>
  </si>
  <si>
    <t>• Specialized Training: Addressing the massive training gap (75% of respondents had no technology training) to build confidence and "minimize friction" with new tools.</t>
  </si>
  <si>
    <t>• Sense of Threat: Because current tools are seen as an "imposition," the relationship is described as "undefined, messy, [and] threatening".</t>
  </si>
  <si>
    <t>• The Google Translate Myth: Technology enters the discourse primarily as a source of irritation, such as the frequent "Google Translate question" from outsiders, which translators feel devalues their expertise and leads to unrealistic deadlines and lower fees.</t>
  </si>
  <si>
    <t>• Rejection of MT and CAT: Conversely, translation-specific tools—Machine Translation (MT) and Computer-Aided Translation (CAT)—are viewed as "hindrances" or "intrusions". Respondents fear these tools discourage freedom, interfere with originality, and force their language to adapt to "machinist" restraints.</t>
  </si>
  <si>
    <t>• Targeted Training: There is an urgent need for specialised technology training for literary translators that focuses on how to adapt existing tools to the specificities of creative texts, which would in turn increase professional confidence.</t>
  </si>
  <si>
    <t>• Active Inclusion: Literary translators must be included in the conversation and the tool development process to ensure technology meets their actual needs rather than being an external imposition.</t>
  </si>
  <si>
    <t>3. The Need for a "Human-Centred" Paradigm
A major conclusion is that the voices of literary translators have been consistently excluded from the discourse on technological innovation. To make technology sustainable in this field, the author argues for a shift towards human-centred approaches that centre the practitioner’s point of view and respect their unique workflow. This would help alleviate the "sense of confusion" translators feel in the current socio-technological landscape.</t>
  </si>
  <si>
    <t>The study concludes that resistance to tools like MT and CAT is often a response to poor usability and a misalignment of values.</t>
  </si>
  <si>
    <t>translation-specific technology (such as CAT tools, Translation Memory, and MT) is often perceived as imposed from above, inflexible, and antithetical to the creative "essence" of literary work.</t>
  </si>
  <si>
    <t>translation-specific tools (CAT, MT) are often perceived as imposed from above, inflexible, and incompatible with the creative spirit of literature.</t>
  </si>
  <si>
    <t>• Narratives of Replacement (14%): There is significant frustration regarding the "outsider" discourse (from developers or publishers) suggesting that technology will make the profession obsolete.</t>
  </si>
  <si>
    <t>• Hindrance to Creativity (27%): Respondents expressed concerns that TM and MT cause lazy memory and lead to standardised, impoverished language that lacks a unique "voice".</t>
  </si>
  <si>
    <t>• Rejection of CAT and MT: A striking 71% of respondents report using no translation-specific technology in their literary practice. Among the minority who do, CAT tools (25%) are more common than Machine Translation (7%) or terminology management tools (5%).</t>
  </si>
  <si>
    <t>those with postgraduate academic qualifications or specific technology training reported significantly higher confidence levels in using translation-specific tools.</t>
  </si>
  <si>
    <t>• Translation-Specific Technology: Confidence levels drop sharply; only 34% feel confident or extremely confident, while 25% are "not confident at all".</t>
  </si>
  <si>
    <t>Danish translators remain comparatively optimistic and confident in their adaptability.</t>
  </si>
  <si>
    <t>downward pressure on prices</t>
  </si>
  <si>
    <t>Loss of Agency: The sources conclude that this shift risks diminishing creative satisfaction and translator agency, as professionals feel "straight-jacketed" or "trapped" by machine suggestions.
• Dulling of the Craft: Many professionals conclude that a future dominated by post-editing will be "duller" and "really boring," potentially leading to early retirement for those passionate about the creative act of translation.</t>
  </si>
  <si>
    <t>A primary conclusion is that the core role of the translator is shifting from a "content creator" to a "language reviser".</t>
  </si>
  <si>
    <t>preservation of professional identity.</t>
  </si>
  <si>
    <t>data security requirements (particularly GDPR)</t>
  </si>
  <si>
    <t>many Danish translators expressed confidence in their professional future, particularly those with direct client relationships.</t>
  </si>
  <si>
    <t>concerns about price pressure</t>
  </si>
  <si>
    <t>• Role Transformation: A dominant result is the expected shift from content creator to language reviser. Many respondents anticipate that post-editing will become the norm, though some find this prospect "boring" or "dull".
• Market Bifurcation: Respondents foresee a two-tier market: a standard segment dominated by cheap, fast MTPE and a premium segment for high-quality human translation.</t>
  </si>
  <si>
    <t>• Technical Knowledge Gap: A significant barrier to adoption is a lack of operational skills (32.25%) and technical knowledge (41.75%) on how to integrate these tools meaningfully.</t>
  </si>
  <si>
    <t>• Data Security and Confidentiality: This is a major barrier in the Danish market; 42% of respondents avoid GenAI and 40% avoid browser-based MT due to concerns over sensitive client data and GDPR compliance.</t>
  </si>
  <si>
    <t>• Professional Identity and Control: Many translators avoid MT to retain creative satisfaction and "intellectual agency". Some expressed discomfort with being "trapped" or "straight-jacketed" by machine suggestions.</t>
  </si>
  <si>
    <t>• Generative AI (6% usage): Adoption of tools like ChatGPT for translation was notably low during the study period, reflecting a lack of knowledge regarding their implementation. However, 26% of translators plan to adopt new tools in the coming year, with nearly half of that group specifically targeting GenAI applications.</t>
  </si>
  <si>
    <t>• Machine Translation (54% usage): While more than half activate MT within their CAT tools occasionally, only 9% use it consistently.
• Browser-Based MT (47% usage): These tools typically serve as supplementary aids rather than core workflow components.</t>
  </si>
  <si>
    <t>A Hybrid Future: The study ultimately advocates for a hybrid approach that leverages AI’s speed while retaining strict human oversight for quality assurance. To support this, the authors conclude that Saudi translation programs must urgently integrate AI literacy and post-editing strategies into their curricula to prepare practitioners for this evolving "Human-Machine Era".</t>
  </si>
  <si>
    <t>Linguistic and Structural Barriers: A primary conclusion is that AI struggles specifically with the English-Arabic language pair due to structural disparities and a reliance on English-centric training data
. This leads to frequent misinterpretations of business-specific terminology and economic discourse.</t>
  </si>
  <si>
    <t>The Post-Editing Burden: Rather than simply streamlining workflows, the use of AI often increases the translator's workload
. The study concludes that the poor quality of initial machine drafts necessitates extensive human intervention and rigorous post-editing to rectify errors and ensure the reliability of financial and legal documentation.</t>
  </si>
  <si>
    <t>Indispensability of Human Expertise: The findings underscore that human translators remain essential because AI frequently fails to grasp contextual and idiomatic nuances. Because business communication is deeply rooted in cultural norms and rhetorical conventions, AI-generated translations often lack the cultural sensitivity required for high-stakes Saudi contexts, such as contract translation and corporate negotiations.</t>
  </si>
  <si>
    <t>Augmentation vs. Replacement: The results indicate that AI functions as a supplementary tool rather than a standalone solution; it augments human performance but remains "not yet reliable for autonomous use".</t>
  </si>
  <si>
    <t>The Post-Editing Burden: Rather than reducing labor, the study found that the use of AI often increases the workload because the poor quality of initial machine drafts requires extensive human post-editing to ensure reliability and cultural appropriateness.</t>
  </si>
  <si>
    <t>Lack of Transparency: Participants expressed concerns regarding the opacity of AI decision-making; tools do not provide explanations for their translation choices, making it difficult for professionals to verify accuracy effectively.
Reliability Concerns: Because of frequent errors in critical documents like contracts and reports, translators reported a lack of trust in AI-generated outputs for high-stakes business communication.</t>
  </si>
  <si>
    <t>1. Primary Linguistic and Terminological Hurdles
Terminology Accuracy: The highest-rated challenge identified by participants was the struggle of AI tools to maintain accuracy in business-specific terminology (M = 2.79).
Contextual and Cultural Gaps: AI tools frequently fail to grasp context-dependent meanings (M = 2.48) and the nuances of idiomatic business expressions.
Linguistic Disparity: Translators noted significant difficulties arising from the structural differences between Arabic and English, such as the handling of passive voices and nominalization, which English-centric AI models often misinterpret.</t>
  </si>
  <si>
    <t>The focus of the translation workflow should be the human translator and MT should be used as a way to improve a human-centered process.</t>
  </si>
  <si>
    <t>Training and experience are key elements to post-editing with more confidence.</t>
  </si>
  <si>
    <t>In general, translators are less satisfied with post-editing than with translation from scratch.</t>
  </si>
  <si>
    <t>Experienced post-editors also considered this task to be more repetitive, more tiring and less paid than translating from scratch.</t>
  </si>
  <si>
    <t>The main challenges of post-editing were related to the constraints it imposes, mainly to creativity. Another important problem was the unpredictable errors in the MT output, which were sometimes difficult to spot.</t>
  </si>
  <si>
    <t>Translators who post-edited for the first time showed prejudices and a general negative attitude before post-editing due to the characteristics of the task but also because of other external elements such as rates and the future of the translation profession.</t>
  </si>
  <si>
    <t>Regarding the more controversial area of MT, the study concludes that even this technology can be viewed as an advantage:
• Market Expansion: Free online translation has enabled businesses to make more international connections, ultimately creating more potential customers for professional translators.
• Recognition of Human Value: Businesses that experiment with MT often quickly recognise its limitations, which reinforces the conclusion that human translation is necessary for critical business communications.</t>
  </si>
  <si>
    <t>The authors conclude that the primary reason some translators, scholars, and clients "fail to get along" with translation technology is ill-informedness. They argue that many negative perceptions are rooted in a lack of understanding regarding the purposes, capabilities, and specific limitations of various tools. When these tools are misunderstood, clients may have unrealistic expectations for price and speed, while translators may view the technology with unnecessary hostility.</t>
  </si>
  <si>
    <t>• Professional Stance: MT is the only category where a plurality (42.80%) views the technology as a "foe" rather than a friend.</t>
  </si>
  <si>
    <t>• Job Security: Despite the rise of automation, 69% of respondents believe MT will never replace human translators, and 66% do not feel threatened by the technology.</t>
  </si>
  <si>
    <t>• Usage: Over half (55.90%) of the respondents do not use MT.</t>
  </si>
  <si>
    <t>5. Training for Critical Thinking
Finally, the study concludes that these institutional insights offer new perspectives for translator training.
• Rather than just teaching post-editing skills, trainers should encourage students to think critically about their own cognitive processes when interacting with machines.
• By allowing students to choose when to use MT and justify those choices, they are better prepared for the "interpretive flexibility" required in the professional field.</t>
  </si>
  <si>
    <t>True empowerment requires giving translators more control over their environments and involving them as active "actors" in technology development rather than just passive users.</t>
  </si>
  <si>
    <t>• The researchers conclude that "fear of MT" is significantly correlated with a lack of understanding of how the system works.</t>
  </si>
  <si>
    <t>• Consequently, the researchers conclude that translators’ expertise can and should be trusted; the decision of when it is appropriate to use MT should remain with the human professional rather than being dictated by rigid guidelines.</t>
  </si>
  <si>
    <t>• Knowledge Gap: There was a significant correlation between fear and a lack of knowledge about how MT works.
• The Empowerment Factor: Translators who perceived MT as a threat were consistently those who had the lowest scores for MT knowledge.</t>
  </si>
  <si>
    <t>• Social Image: Perceived usefulness was significantly influenced by "image" (whether using the tool enhances one's professional standing) and "subjective norm" (the influence of peers), rather than just the tool's performance.</t>
  </si>
  <si>
    <t>while others viewed it as a "typing aid" or a "constant progress".</t>
  </si>
  <si>
    <t>• The "Threat" Narrative: Despite high use, perceptions were polarised; 40% of translators in the ethnographic phase viewed MT as a "threat" to the human translator,</t>
  </si>
  <si>
    <t>• Widespread Use: Overall MT acceptance was found to be high, with 89% of respondents using the tool either "systematically" (43%) or "in some cases" (46%).</t>
  </si>
  <si>
    <t>3. Anxiety Directed at "Human Links" rather than Technology
The study concludes that "automation anxiety" is widespread among translators, but it is not necessarily a fear of the technology itself. Instead, the fear is directed at clients and agencies who may use the existence of AI as a "justification for lowering rates" or cutting human language work, regardless of the tool's actual performance.</t>
  </si>
  <si>
    <t>The researchers conclude that despite the ubiquitous presence of ChatGPT in professional discourse, only 13.5% of professionals reported using it for actual translation tasks.</t>
  </si>
  <si>
    <t>• Lack of Training: Only 17% of respondents had actively sought formal training or education in Large Language Models (LLMs), with most choosing to gather information independently regarding prompt engineering and data protection.</t>
  </si>
  <si>
    <t>• Economic Impact: The primary concern is that ChatGPT will be used by agencies as an excuse to lower prices or cut rates, rather than a fear of total job replacement.</t>
  </si>
  <si>
    <t>• Fear of Clients, Not Just Tools: Translators’ fears are often directed at human links in the chain (clients and agencies) rather than the technology itself.</t>
  </si>
  <si>
    <t>• Quality Gaps: Translators reported poor performance in actual translation tasks, particularly in creative or specialised contexts, where the output was often described as "shallow" or "politician-like".</t>
  </si>
  <si>
    <t>1. Limited Degree of Adoption
Despite the high level of media hype, professional adoption is still in its early stages:
• Translation Usage: Only 13.5% of survey respondents reported using ChatGPT specifically for translation tasks.
• Workflow Integration: Only five individuals (out of 252) had fully integrated the tool into their professional translation workflow.
• User Frequency: While 58.7% had tried it at least once, 41% of respondents reported that they do not use it at all. Only 13% identified as "regular users".</t>
  </si>
  <si>
    <t>The AI Literacy Gap
The sources conclude that AI literacy currently plays a limited role in shaping these trust trajectories. Because 83% of respondents reported seeking no formal training in large language models, most translators are building their trust based on personal experience and trial-and-error rather than a deep technical understanding of how the systems function.</t>
  </si>
  <si>
    <t>Automation Anxiety and Market Precarity
The study concludes that trust is heavily dampened by "automation anxiety" and a general sense of job insecurity. Translators view the technology not just as a tool, but as a potential threat to their professional autonomy and economic stability. This distrust is further fuelled by scepticism regarding the intentions of the companies and language service providers promoting AI, whom translators suspect are using technology primarily to reduce remuneration and labour costs.</t>
  </si>
  <si>
    <t>translators maintain low trust in the system's fairness and freedom from bias, which is exacerbated by the "black box" nature of these models.</t>
  </si>
  <si>
    <t>data privacy is the most significant source of distrust. There is widespread professional unease regarding "mass data extraction"—the fear that confidential client data and skilled human translations are being repurposed without consent to train AI models.</t>
  </si>
  <si>
    <t>Translators, acting as domain experts, are more critical of the technology's limitations and generally distrust its capabilities for professional-grade translation due to perceived inaccuracies and lack of naturalness.</t>
  </si>
  <si>
    <t>• The Privacy Barrier: Data privacy emerged as the second most important source of distrust. Translators expressed deep unease regarding mass data extraction and the need to protect their professional translations from being repurposed to train AI models.</t>
  </si>
  <si>
    <t>• Liability: Reputational and legal risks stemming from AI-generated mistakes (156 respondents).</t>
  </si>
  <si>
    <t>• Market Viability: General anxiety regarding the future of the translation market (168 respondents).</t>
  </si>
  <si>
    <t>• Work Quality: The potential for technology to constrain work and reduce creativity (170 respondents).</t>
  </si>
  <si>
    <t>• Economic Impact: A reduction in translation rates (192 respondents) and the use of technology specifically to cut labour costs (189 respondents).</t>
  </si>
  <si>
    <t>• Polarised Adoption: Adoption remains limited and polarised; while 13% use GenAI regularly and 28% use it occasionally, 41% of respondents avoid it altogether.</t>
  </si>
  <si>
    <t>• Task-Specific Accuracy: Respondents find tools like ChatGPT poor for actual translation (with 63 participants rating it as "not" or "slightly" accurate) and proofreading.</t>
  </si>
  <si>
    <t>• Low Core Trust: Generally, translators exhibit little to very little trust in GenAI for core professional tasks. Trust is lowest regarding data privacy, the presence of bias, and translation accuracy.</t>
  </si>
  <si>
    <t>• Curriculum Reform: The findings should contribute to the development of MTPE training programs, as new translators must now be proficient in both HT and MTPE.</t>
  </si>
  <si>
    <t>4. Acceptance of Remuneration Models
Unlike results found in previous studies, the survey concludes that there is no difference in the level of satisfaction with pay between HT and MTPE. Vietnamese translators were generally satisfied with the compensation for both types of services, indicating that the economic model for MTPE is currently well-accepted within this market.</t>
  </si>
  <si>
    <t>1. Enhanced Process Convenience and Reduced Cognitive Load
The researchers conclude that MTPE offers a clear advantage in the translation process by making vocabulary and terminology searches more convenient. While human translation (HT) requires translators to search from scratch using dictionaries and thesauri, MTPE presents this data in advance. This leads to the conclusion that MTPE alleviates the "cognitive and psychological burden" associated with manual searching.
2. Perceived Quality Parity and Trust
A major conclusion of the study is that Vietnamese translators are equally satisfied with the quality of HT and MTPE products. There was no statistically significant difference in their satisfaction regarding accuracy, fluency, or the usage of idioms and terminology between the two methods. This suggests that the younger generation of translators "do not mind using MTPE" and have a high level of trust in the quality it produces.</t>
  </si>
  <si>
    <t>3. Satisfaction with Payment
The survey examined whether the translation method impacted the participants' satisfaction with their remuneration.
• Equal Satisfaction: While initial 4-scale testing showed a slight difference (p=.027), the directional 2-scale view showed no difference at all (p=1),.
• Remuneration Perception: A total of 76.6% of translators (72 out of 94) were satisfied with the pay for both HT and MTPE services. Unlike the Korean translators in previous studies, the Vietnamese participants were generally satisfied with the compensation for both types of work.</t>
  </si>
  <si>
    <t>• Accuracy and Fluency: There was no significant statistical relationship between the translation method and the accuracy (p=.915) or fluency (p=.607) of the output,. For accuracy, 85.1% were satisfied with HT products and 83% with MTPE products. For fluency, 76.6% were satisfied with HT and 75.5% with MTPE.
• Idioms and Terminology Usage: Participants showed equal preference for the usage of idioms and terminology in both methods. Satisfaction with idiom usage was nearly identical, with 60 participants satisfied with HT and 66 with MTPE.
• Trust in MTPE: The researchers concluded that Vietnamese translators "do not mind using MTPE" and demonstrate a high level of trust in its quality, possibly because they focus more on the delivery of intended meaning rather than sophisticated syntactic nuances.</t>
  </si>
  <si>
    <t>• Vocabulary Searches: Participants found searching for vocabulary in MTPE significantly more convenient than in HT,. In the 2-scale analysis, 77.7% of translators found vocabulary searches difficult in HT, whereas only 48.9% found them difficult in MTPE.
• Terminology Searches: A similar trend was observed for terminology. 89.4% of participants reported difficulty searching for terminology in HT, compared to 62.8% in MTPE.
• Reduced Cognitive Load: The researchers concluded that because MTPE presents terminology and vocabulary in advance from existing data, it alleviates the "cognitive and psychological burden" of having to search from dictionaries and thesauri from scratch.</t>
  </si>
  <si>
    <t>• There are deep concerns that technology could make literary translation less creative or even replace the human professional.</t>
  </si>
  <si>
    <t>• Machine Translation (MT) is rarely used for full-text drafting; instead, it serves as a narrow tool for comprehension of difficult passages or as a spark for creative inspiration.</t>
  </si>
  <si>
    <t>• Technical Training: Those with formal training in translation technology are significantly more likely to use MT. Interestingly, those with specific training in literary translation were slightly less likely to use terminology tools.</t>
  </si>
  <si>
    <t>• MT Post-Editing: The rarest approach (represented by one interviewee), where the translator receives a pre-translated MT draft and refines it within a TM system.</t>
  </si>
  <si>
    <t>◦ Machine Translation (MT): 55.6% "Never" use it, while 31.9% use it "sometimes".</t>
  </si>
  <si>
    <t>Gaps in Training and Pedagogy
The sources highlight a critical deficiency in current professional and academic training:
• Lack of Practical Advice: PE training rarely includes useful guidance on reading strategies (e.g., whether to read the source or target segment first).
• Curriculum Needs: The study concludes that because NMT has changed how translators interact with pre-translated texts, academic curricula must be adjusted. Translation schools should help students develop revision and PE strategies in parallel rather than teaching them as entirely separate, late-stage additions.</t>
  </si>
  <si>
    <t>• Cognitive Bias: The researcher observed a potential "cognitive bias" where some linguists view PE merely as a "revision of MT" rather than a distinct task, which may lead them to perceive MT as an increase in revision workload rather than a supportive tool.</t>
  </si>
  <si>
    <t>• Perceived Differences vs. Actual Behaviour: A majority of respondents (64%) claim to apply different overall strategies when working with human-translated versus machine-translated texts, primarily because they trust machine translation (MT) less and feel they must be more careful.</t>
  </si>
  <si>
    <t>• Creativity Concerns: Translators fear that technology—especially MT—cannot capture style, humor, or cultural nuance, and that working at the sentence level disrupts the artistic flow of a document.</t>
  </si>
  <si>
    <t>• Translators who received technology training were significantly more likely to use these tools in their professional practice.</t>
  </si>
  <si>
    <t>• However, only 18% use specialized translation technology (CAT tools or MT) for their literary projects.</t>
  </si>
  <si>
    <t>• Positive Motivations: Those who do use the tech cite benefits such as inspiration, alternative suggestions, and practical support like ensuring no sentences are accidentally skipped.</t>
  </si>
  <si>
    <t>• Attitudinal Factors: Some translators categorically reject MT, viewing it as "dangerous" to their linguistic knowledge or a threat that could "destroy the craft".</t>
  </si>
  <si>
    <t>• Performance Concerns: The primary reason for non-adoption is the belief that technology cannot capture "human" elements like style, humor, metaphors, rhythm, and cultural nuance.
• The "Sentence Salad" Risk: A major technical deterrent is that most software forces translators to work at the sentence level, which many feel disrupts the flow and "art" of the literary text.</t>
  </si>
  <si>
    <t>• Translation Tech (18% Adoption): Only a small fraction uses specialized translation software (e.g., MemoQ, Trados Studio) for literary projects.</t>
  </si>
  <si>
    <t>• Educational Influence: Only 6% of respondents with a literary translation education received any technology training. The survey found a direct link between having received such training and being aware of (and therefore more likely to use) these tools.</t>
  </si>
  <si>
    <t>if current industry trends—particularly regarding MTPE pay structures and the lack of translator control—continue, the "long-term sustainability of the skilled translator workforce will be at risk".</t>
  </si>
  <si>
    <t>2. The Negative Influence of MTPE
A central conclusion of the study is that current Machine Translation Post-Editing (MTPE) practices are exerting a significant negative influence on the profession. The amount of MTPE work a translator undertakes is negatively linked to:
• Job Fit: Translators feel overqualified and find less stimulation in post-editing tasks.
• Provider Relationships: It strains the relationship between translators and their work providers.
• Financial Fairness: There is a strong negative link between high MTPE workloads and the perceived fairness of pay.</t>
  </si>
  <si>
    <t>• Perceived Utility of MT: Professionals do not feel they are truly benefitting from the current implementation of machine translation.</t>
  </si>
  <si>
    <t>• The AI Exit Factor: Despite this general commitment, qualitative data revealed pessimistic sentiments. Some translators are seriously considering leaving due to insufficient workloads and falling rates attributed to the influence of Artificial Intelligence (AI).</t>
  </si>
  <si>
    <t>• Negative Correlations: Conversely, high MTPE workloads relate negatively to seven key areas: job fit (feeling overqualified), work provider engagement, control at work, professional networking, general wellbeing, overall satisfaction, and perceived fairness of pay.</t>
  </si>
  <si>
    <t>• Positive Correlations: Higher volumes of MTPE work relate to greater enjoyment of and engagement with MTPE tasks, as well as a more positive attitude toward translation technology in general.</t>
  </si>
  <si>
    <t>• Fairness of Pay: Remuneration is a major concern; only just over a quarter (26%) of respondents feel they are paid fairly, while 51% feel they are not.</t>
  </si>
  <si>
    <t>• MT Utility: The perceived utility of Machine Translation (MT) scored low, suggesting professionals do not feel they are benefitting from its incorporation into their workflows.</t>
  </si>
  <si>
    <t>• Exposure through MTPE: Regardless of career length, translators who spend more time on Machine Translation Post-Editing (MTPE) tend to be significantly more positive about technology and MT specifically. This suggests that direct experience with these tools can mitigate negative perceptions.</t>
  </si>
  <si>
    <t>• Technological Dominance: While most respondents did not feel "dominated" by technology, those who did often held positive attitudes toward MT, suggesting they may be heavy users of the technology by choice.</t>
  </si>
  <si>
    <t>• MT-positive: Specifically positive attitudes toward Machine Translation (MT).</t>
  </si>
  <si>
    <t>To retain talent and avoid a "talent crunch," the author concludes that the industry must shift toward a "human-centered approach to augmented translation". This model focuses on the amplification of human abilities and empowerment, maintaining human control rather than merely emulating human activity.</t>
  </si>
  <si>
    <t>Brogueira concludes that unlike earlier CAT tools, modern MT and Generative AI systems largely exclude translators from their development processes. This has led to a model focused on "automation efficiency" rather than the needs of the human user, contributing to the current sense of professional alienation.</t>
  </si>
  <si>
    <t>A key conclusion is that formal training is a vital buffer against technology-induced attrition. Translators with degrees specifically in translation or those who have engaged in Continuous Professional Development (CPD) regarding MT are significantly less likely to leave the profession than those who reject such training.</t>
  </si>
  <si>
    <t>Although MT usage has become more widespread since 2017, dissatisfaction levels have risen disproportionately. Only about one-third of MT users rate their experience as positive, and satisfaction is particularly low for those forced into post-editing and reviewing roles.</t>
  </si>
  <si>
    <t>Protective Factors: Knowledge of MT through higher education and continuous professional development (CPD) positively influences attitudes. Those with a degree in translation are significantly less likely to abandon the profession than those with degrees in other fields.
Training Impact: Participants who had received formal MT training showed a much lower risk of attrition (&lt;30%) compared to those who rejected such training (72.2%).</t>
  </si>
  <si>
    <t>Translators identified several persistent hurdles for MT in European Portuguese, including:
A failure to distinguish between Brazilian and European Portuguese.
Lack of contextual awareness and terminology inconsistencies.
Literal translations and grammatical concordance issues.</t>
  </si>
  <si>
    <t>Experienced translators have become increasingly pessimistic about the impact of MT on their income compared to 2017.</t>
  </si>
  <si>
    <t>There has been a "significant leap" in the number of professionals willing to switch careers due to technology integration. In 2023, more than 40% of participants reported they would consider abandoning the translation profession if post-editing and reviewing become the norm.</t>
  </si>
  <si>
    <t>Satisfaction is lowest for reviewers (2.28/5) and post-editors (2.31/5), with results suggesting a direct correlation between a translator's ability to control the use of MT and their level of fulfillment.</t>
  </si>
  <si>
    <t>Dissatisfaction levels regarding MT projects rose from 22% in 2017 to 33% in 2023</t>
  </si>
  <si>
    <t>personal satisfaction is declining.</t>
  </si>
  <si>
    <t>respondents generally rate the evolution of MT quality positively (especially in accuracy and terminology)</t>
  </si>
  <si>
    <t>Generalized Use: MT tool usage (including Google Translate and APIs for CAT tools) saw a major leap from 29% in 2017 to 53% in 2023.
Declining Resistance: The percentage of respondents who had never participated in an MT-explicit project dropped from 46% in 2017 to 34% in 2023.</t>
  </si>
  <si>
    <t>• Lack of Awareness: The fact that 18% of non-users were unaware that MT could be a professional tool suggests a significant information gap.</t>
  </si>
  <si>
    <t>3. Technical Literacy as the Primary Driver
The study concludes that technical competence, rather than age or specialization, is the most significant factor in technology adoption.
• The Barrier of Skill: There is a direct correlation where lower technical skills lead to higher rates of non-use.
• Training Needs: The authors emphasize a critical need to prioritize technical skill development in both professional and academic settings to overcome this barrier.</t>
  </si>
  <si>
    <t>1. Universal Adoption with Low Intensity
The researchers conclude that although 72% of Polish translators use MT, they do not yet rely on it as an indispensable partner.
• Support Tool vs. Partner: Only 17% of respondents use MT regularly, and only 8% find it indispensable.
• Occasional Use: The majority treat MT as just one of many supportive tools at their disposal, using it only "from time to time".</t>
  </si>
  <si>
    <t>• Most Common Errors: Stylistic issues (3.8), calques (3.7), and terminological inconsistency (3.6) were identified as the most frequent problems.
• Least Common Errors: MT was found to be highly reliable for spelling (1.7), punctuation (2.8), and basic grammar (3.0).</t>
  </si>
  <si>
    <t>• Awareness Gap: 19% of non-users were unaware that MT could be used as a professional tool.</t>
  </si>
  <si>
    <t>• Security Concerns: 34% cited confidentiality risks and the sharing of document content with third-party services as a reason for non-use.</t>
  </si>
  <si>
    <t>• Technical Literacy: There is a direct correlation between skills and adoption: the higher the technical skills, the lower the rate of non-use.</t>
  </si>
  <si>
    <t>• Persistent Non-Use: Among the 26% who are non-users, there is extreme resistance to future adoption; only 2% of non-users plan to implement MT in their future workflow.</t>
  </si>
  <si>
    <t>• Total Usage: 72% of respondents reported using MT in some way, while 28% indicated they do not use it.</t>
  </si>
  <si>
    <t>Segmento</t>
  </si>
  <si>
    <t>Resultado do peso</t>
  </si>
  <si>
    <t>Fim</t>
  </si>
  <si>
    <t>Início</t>
  </si>
  <si>
    <t>Código</t>
  </si>
  <si>
    <t>Nome do documento</t>
  </si>
  <si>
    <t>Grupo do documento</t>
  </si>
  <si>
    <t>Cor</t>
  </si>
  <si>
    <t>United Kingdom</t>
  </si>
  <si>
    <t>South Korea</t>
  </si>
  <si>
    <t>Switzerland</t>
  </si>
  <si>
    <t> </t>
  </si>
  <si>
    <t>Use when the study reports a high level of adoption of Machine Translation systems by respondents (if quantified, more than 50%)</t>
  </si>
  <si>
    <t>Use when the study reports a moderate level of adoption of Machine Translation systems by respondents (if quantified, between 26% and 50%)</t>
  </si>
  <si>
    <t>Use when the study reports a low level of adoption of Machine Translation systems by respondents (if quantified, between 1% and 25%)</t>
  </si>
  <si>
    <t>Use when the study reports an absence of adoption of Machine Translation systems by respondents (if quantified, 0%)</t>
  </si>
  <si>
    <t>Use when the study reports concerns expressed by respondents about data safety and confidentiality aspects related to the use of Machine Translation in translation workflows.</t>
  </si>
  <si>
    <t>Use when the study reports concerns expressed by respondents about environmental sustainability aspects related to the use of Machine Translation in translation workflows.</t>
  </si>
  <si>
    <t>Use when the study reports concerns expressed by respondents about copyright aspects related to the use of Machine Translation in translation workflows.</t>
  </si>
  <si>
    <t>Use when the study reports concerns expressed by respondents about quality aspects related to the use of Machine Translation in translation workflows.</t>
  </si>
  <si>
    <t>1. Future Outlook: Flourishing through Collaboration
The Dominance of AI: An overwhelming 97% of participants believe AI translation will continue to prevail and that new, more advanced applications will be developed in the future.
A Positive Trajectory: Despite the challenges, 93% of respondents envision their professional future "flourishing" specifically through a collaborative relationship with AI tools rather than being replaced by them.
Human as the Centrepiece: The findings suggest that translators will move toward consultative and advisory roles, acting as specialized experts in post-editing and quality assurance to ensure machine output aligns with human intent.
2. Critical Challenges and Fears
Identity and Autonomy: Nearly all participants (97%) expressed fears of losing their jobs to automation. Furthermore, 93% reported concerns regarding the loss of professional identity, autonomy, and creative control when relying on AI datasets.
Technical and Ethical Barriers: Respondents highlighted significant difficulties in handling technical complexity (87%) and accessing comprehensive training resources (80%).
Erosion of Value: 90% of participants worry about the diminishing importance of traditional human skills and values in an industry focused on the speed of machine translation.
3. Indispensable Human Skills
The study identified specific areas where human expertise remains "indispensable" to remain competitive:
Cultural and Ethical Oversight: Human translators are vital for maintaining ethical standards, preventing biased or misleading AI output, and ensuring cultural relevance—nuances that machines often miss.
Linguistic Mastery: 97% of participants identified advanced linguistic competence and terminology database management as the most critical skills for the AI era.
The "Human Touch": Skills in creative adaptation, localization, and interpersonal collaboration with clients were cited as unique human contributions that AI cannot replicate.
4. Recommended Strategies for Adaptation
To overcome the "automation anxiety" documented in the results, the study highlights several adaptive strategies:
Continuous Education: 93% of participants emphasized the need for continuous technology training and professional development programs to bridge the gap between human expertise and AI capabilities.
Rigorous Quality Control: Implementing strict data privacy and rigorous quality assurance processes allows translators to reposition themselves as essential "quality controllers" within the automated workflow.</t>
  </si>
  <si>
    <t>The Satisfaction-Adoption Paradox: Although MT usage has become more widespread since 2017, dissatisfaction levels have risen disproportionately. Only about one-third of MT users rate their experience as positive, and satisfaction is particularly low for those forced into post-editing and reviewing roles.
Risk of Market Disruption (Adverse Selection): The study concludes that the profession faces a significant threat of attrition, or "brain drain". Over 40% of participants expressed a willingness to abandon the trade if technology integration continues to diminish job satisfaction. This leads to "adverse selection," where the most qualified or "good" translators leave for other professions—such as the public education system—where they can find better financial stability and social recognition.
Education as a Protective Factor: A key conclusion is that formal training is a vital buffer against technology-induced attrition. Translators with degrees specifically in translation or those who have engaged in Continuous Professional Development (CPD) regarding MT are significantly less likely to leave the profession than those who reject such training.
A Critique of the MT/AI Industry: Brogueira concludes that unlike earlier CAT tools, modern MT and Generative AI systems largely exclude translators from their development processes. This has led to a model focused on "automation efficiency" rather than the needs of the human user, contributing to the current sense of professional alienation.
The Necessity of Human-Centered Design: To retain talent and avoid a "talent crunch," the author concludes that the industry must shift toward a "human-centered approach to augmented translation". This model focuses on the amplification of human abilities and empowerment, maintaining human control rather than merely emulating human activity.</t>
  </si>
  <si>
    <t>The Necessity of Collaboration: The study concludes that the future of the profession lies in a "partnership" or "integrated partnership" between humans and machines. While 97% of participants believe AI will continue to prevail, 93% envision their professional future "flourishing" through this collaboration rather than through the total replacement of the human element.
Evolution of Professional Roles: The research concludes that traditional roles are shifting toward specialized expertise in post-editing, quality assurance, and data curation. Translators are expected to become "consultative and advisory" specialists who act as ethical guides, preventing biased or misleading AI output and handling the subjective human experiences that machines cannot grasp.
The "Human Advantage" in Culture and Ethics: A central conclusion is that AI struggles with ambiguity, cultural references, and idiomatic expressions, areas where human intervention remains vital for localization and accuracy. Translators remain essential for ensuring that texts resonate with target audiences and maintain narrative coherence in sensitive sectors like art and literature.
Strategy for Survival: To overcome "automation anxiety" and widespread fears regarding job security (reported by 97% of participants), the study concludes that practitioners must adopt research-driven practices and continuous technology training. By positioning themselves as "indispensable partners" and quality assurance controllers, human translators can maintain their professional identity and competitive edge.</t>
  </si>
  <si>
    <t>To bring together data to analyse the degree of technology adoption among professional literary translators in Spain (including the use of LLMs and GenAI), their perceptions of the benefits and limitations of such technologies, and their view on the prospects for GenAI in the publishing industry.</t>
  </si>
  <si>
    <t>To explore the future of human translators in the era of Artificial Intelligence (AI) translation technologies. The research seeks to provide an in-depth examination of the evolving roles of translators and the specific challenges they face in adapting their skills to remain competitive.</t>
  </si>
  <si>
    <t xml:space="preserve">To situate translators’ discourse on machine translation and its potential economic reverberations within the context of broader work automation phenomena and empirical information on the translation profession. </t>
  </si>
  <si>
    <t>To interrogate and challenge the common assumption that literary translation is a unique, non-repetitive practice for which digital tools have few practical applications.</t>
  </si>
  <si>
    <t>How respondents view the use of Machine Translation (if they have a positive or negative attitude towards this technology). These codes may be used to classify as positive or negative the expression of any other code in this structure.</t>
  </si>
  <si>
    <t>Use when the study reports the respondents view of any aspect of Machine Translation as being negative.</t>
  </si>
  <si>
    <t>Use when the study reports the respondents view of any aspect of Machine Translation as being positive.</t>
  </si>
  <si>
    <t>Use when the study reports concerns expressed by respondents about the impact in payment/fees received caused by the use of Machine Translation in translation workflows.</t>
  </si>
  <si>
    <t>Use when the study reports concerns expressed by respondents about the translator role and status in the translation ecosystem, related to the use of Machine Translation in translation workflows (i.e.: translators in the center of the process, fears of being replaced by machines, of losing professional independence and identity, etc.)</t>
  </si>
  <si>
    <t>The level of literacy/training reported by respondents regarding Machine Translation systems and Artificial Intelligence.</t>
  </si>
  <si>
    <t>Use when the study reports an absence of literacy/training of the respondents as to the technology used in Machine Translation systems.</t>
  </si>
  <si>
    <t>Use when the study reports a low level of literacy of the respondents as to the technology used in Machine Translation systems.</t>
  </si>
  <si>
    <t>Use when the study reports a high level of literacy of the respondents as to the technology used in Machine Translation systems.</t>
  </si>
  <si>
    <t>General</t>
  </si>
  <si>
    <t>Literary</t>
  </si>
  <si>
    <t>Technical</t>
  </si>
  <si>
    <t>Audiovisual</t>
  </si>
  <si>
    <t>Experts in the practice of translation, lecturers who teach translation courses at universities, post-graduate students who are pursuing advanced studies in translation, and university administrators who oversee the management of translation programs.</t>
  </si>
  <si>
    <t>Medical</t>
  </si>
  <si>
    <t>Participants registered on Polish professional translators’ forums or studying/ working at Polish universities</t>
  </si>
  <si>
    <t>Legal</t>
  </si>
  <si>
    <t>• Using or having used MT in medical and health texts, irrespective of the years using it.
• Representing the professional and training profiles that have been shown to be predominant in the medical translation market: staff translators and freelancers
with scientific and/or linguistic backgrounds
• Working with the English-Spanish language pair, although not necessarily on an exclusive basis.</t>
  </si>
  <si>
    <t>Using purposive sampling, the study included thirty female translators affiliated with public universities in Saudi Arabia.</t>
  </si>
  <si>
    <t>Business</t>
  </si>
  <si>
    <t>Language service companies (LSCs), independent language professionals, training institutes and their students, language service buyers, as well as private and public translation departments.</t>
  </si>
  <si>
    <t>Translators, academic experts in machine translation, leaders of professional associations, and owners and executives of translation firms</t>
  </si>
  <si>
    <t>Translation Area</t>
  </si>
  <si>
    <t>USA</t>
  </si>
  <si>
    <t>Questionnaire</t>
  </si>
  <si>
    <t>Type of study Questionnaire</t>
  </si>
  <si>
    <t>Interviews</t>
  </si>
  <si>
    <t>• Experience and Training: Participants had an average of 15.8 years of translation experience. While 80% began post-editing at their current company, 53% had received formal PE training, which is notably higher than the 41% of revisers who had received formal training for revision tasks.</t>
  </si>
  <si>
    <t>• Trust in MTPE: The researchers concluded that Vietnamese translators "do not mind using MTPE" and demonstrate a high level of trust in its quality, possibly because they focus more on the delivery of intended meaning rather than sophisticated syntactic nuances.</t>
  </si>
  <si>
    <t>• Workflow Integration: The study suggests that MT is not yet fully integrated into daily services for the surveyed group; most PTs and PMs reported receiving or assigning PE tasks only once a month.</t>
  </si>
  <si>
    <t>• High Current Agency: Participants reported generally high levels of perceived control (mean of 76.08/100) and autonomy (73.13/100) over their current workflows. This is especially true regarding the ability to "turn on and off" technologies depending on the specific task or document type.</t>
  </si>
  <si>
    <t>• A Newer Occupation: The majority of respondents have less than 10 years of experience in PE, confirming that it is a relatively new professional occupation. Younger participants did not show a higher level of involvement in PE compared to their older colleagues.</t>
  </si>
  <si>
    <t>2. Adopted Strategies for Ethical Practice
The study documented several "coping and accommodation strategies" used by professionals to mitigate these risks:
Filtering and Anonymization: Translators frequently filter texts for personal data before uploading them or use pseudonymization techniques (replacing real names with placeholders).
Tool Selection: There is a clear preference for subscription-based, end-to-end encryption tools over free open-access platforms, which are viewed as insecure.
Offline and Local Solutions: To ensure maximum security for sensitive documents, many practitioners rely on offline translation software that runs locally rather than on the cloud.
Human-in-the-loop: The researchers found a consensus that manual review and human intervention remain a "must" to strike a balance between speed and cultural relevance.</t>
  </si>
  <si>
    <t>1. Productivity and Speed Gains
The experiment quantified the "temporal effort" required for post-editing compared to translating from scratch:
• Average Gains: On average, translators were 14% faster using Neural MT for Finnish (NMT-FI) and 12% faster using Statistical MT for French (SMT-FR). These gains are notably lower than those reported in previous similar studies.
• The Individual Factor: Success was highly personal. In the Finnish department, all five analyzed translators saw speed gains (11%–21%). However, in the French department, two out of five translators were actually slower when using MT, with one suffering a 36% loss in productivity.
• The "Incompressible" Verification Time: Even when the MT produced a "perfect" suggestion that required no editing, translators still spent an average of 2.05 to 3.22 seconds per word. This represents the time required for a professional to read, verify, and approve the output, which the researchers call "incompressible" time.</t>
  </si>
  <si>
    <t>2. Integration into Work Practices</t>
  </si>
  <si>
    <t>2. Time and Productivity Gains
• Faster Completion: Participants were generally faster when post-editing,. The average time spent post-editing was 56.6 minutes, while translating from scratch took 67.1 minutes,.
• Efficiency Increase: This difference represents a 16% decrease in time spent on task, or a gain of more than ten minutes per passage,.</t>
  </si>
  <si>
    <t>The experiment measured the actual work performed by the six translators under three conditions: from scratch (HT), post-editing Statistical MT (SMT), and post-editing NMT.</t>
  </si>
  <si>
    <t>• The Weight of Fear: Two factors introduced by the researchers—"fear of MT" (security) and "perceived impact"—had a more significant impact on actual use than traditional measures like "perceived usefulness" or "ease of use".</t>
  </si>
  <si>
    <t>• Positive Sentiment: A significant portion of respondents (29.30%) claim to "just love" technology, while 34.20% describe a "love-hate" relationship. Only 3.80% reported that they "just hate" it.</t>
  </si>
  <si>
    <t>Positive Professional Sentiment
Contrary to the narrative that many translators "hate" technology, the study concludes that most professionals have a positive relationship with it.</t>
  </si>
  <si>
    <t>• Adoption and Affect: Most translators either "love" technology or do not experience a "love-hate" relationship, using it to support the entire translation workflow from marketing to final delivery.
• Enabling, Not Replacing: The researchers concluded that translation tools are aids to human translators rather than replacements for them. They found that using technology often makes the translation process more enjoyable and fulfilling.</t>
  </si>
  <si>
    <t>• Major Stressors: These include poor treatment from agencies (feeling undervalued or treated like "robots"), decreasing remuneration, and uncertainty about the future.</t>
  </si>
  <si>
    <t>• Major Satisfiers: Satisfaction is derived from flexibility and autonomy (especially for those who are self-employed) and the "art of translation" itself, which provides mental stimulation and a sense of accomplishment.</t>
  </si>
  <si>
    <t>• High Stress: Translators experience medium to high levels of stress driven by job demands like time pressure and the need to work very fast.</t>
  </si>
  <si>
    <t>• High Satisfaction: Despite these pressures, approximately 80% of respondents are satisfied with their jobs, and most intend to remain in the profession.</t>
  </si>
  <si>
    <t>Sources of Professional Stress
The study concludes that the primary stressors for translators are often external and outside their direct control.
• Treatment and Remuneration: A major conclusion is that translators feel undervalued and poorly treated by agencies, often being handled like "robots" in an "assembly line". This is compounded by decreasing pay rates and late payments.
• Technology as a Stressor: Similar to the Danish and Swiss studies in our conversation history, the sources conclude that machine translation (MT) and CAT tools are significant stressors. Translators feel technology is "driving down income" and "increasing turnaround times," particularly affecting those with many years of experience.
• Future Uncertainty: Freelance translators, in particular, suffer from the "feast or famine" cycle, leading to anxiety over the unpredictability of future income and projects.</t>
  </si>
  <si>
    <t>Drivers of Job Satisfaction
The study concludes that satisfaction is derived from the intrinsic nature of the work rather than external rewards.
• Autonomy and Flexibility: For the freelance majority, the ability to control their own schedule and relocate or spend time with family is a primary source of satisfaction.
• The "Art of Translation": Translators find immense fulfillment in the mental stimulation and the craft of producing high-quality texts. Knowing they have "translated something well" provides a sense of accomplishment that outweighs professional stressors.</t>
  </si>
  <si>
    <t>The Power of "Saying No"
A key conclusion regarding stress management is that autonomy allows for stress mitigation. Unlike in-house translators, freelancers can choose to reject "unachievable" deadlines or unreasonable projects. The researchers conclude that when stress is "self-imposed" by taking on too much work, translators can improve their well-being by becoming more assertive and learning to decline unsuitable offers.</t>
  </si>
  <si>
    <t>Lista de Códigos</t>
  </si>
  <si>
    <t>Frequência</t>
  </si>
  <si>
    <t>Anotação</t>
  </si>
  <si>
    <t>Saudi translation programs must urgently integrate AI literacy and post-editing strategies into their curricula to prepare practitioners for this evolving "Human-Machine Era".</t>
  </si>
  <si>
    <t>university curricula must evolve:
• PE should not be treated as a peripheral activity introduced late in the program.</t>
  </si>
  <si>
    <t>• PM Knowledge Gaps: The results suggest a potential lack of MT literacy among project managers. When asked which MT engines they use, some PMs mistakenly named CAT tools (such as Trados or Smartling) instead of actual engines.</t>
  </si>
  <si>
    <t>The "MT Literacy" Gap Among Project Managers
A significant conclusion of the study is the pivotal but often under-prepared role of the project manager. The researchers found evidence suggesting a lack of "machine translation literacy" among PMs, noting that some could not distinguish between CAT tools and actual MT engines.</t>
  </si>
  <si>
    <t>• Postgraduate Level: Promotion of deep specialisation in the medical field and the development of "MT literacy". This includes understanding the basics, risks, and benefits of technology to engage confidently with developers and clients.</t>
  </si>
  <si>
    <t>Enhancement of Academic and Professional Standards
• Quality of Graduates: The researchers conclude that incorporating AI into university curricula has a favourable impact on the quality of graduates,. This is supported by practitioners and scholars who recognise that AI tools are essential for training modern translation experts.
• Teaching and Learning: AI has effectively facilitated the teaching and learning of translation at the university level, providing enhanced pedagogical practices and better educational outcomes,.
• Precision and Accuracy: The study confirms that AI-powered instruction leads to a notable improvement in translation precision and accuracy, likely because students and graduates use these tools to refine their skills,,.</t>
  </si>
  <si>
    <t>• The MT vs. TM Confusion: 50% of Nigerian translators mistakenly believe that Translation Memory is the same as Machine Translation (automatic translation without human aid). The researchers note this misconception directly hinders tool acquisition because translators view the tools as "not useful" or "unreliable".</t>
  </si>
  <si>
    <t>• Champion expert-led professional development programmes to encourage positive mindsets and efficient usage habits.</t>
  </si>
  <si>
    <t>Adoption (AD)</t>
  </si>
  <si>
    <t>The degree of adoption of MT as expressed by respondents regarding Machine Translation. Use this specific code when there is reference to adoption but no indication of the corresponding degree.</t>
  </si>
  <si>
    <t>AD_High</t>
  </si>
  <si>
    <t>AD_Moderate</t>
  </si>
  <si>
    <t>AD_Low</t>
  </si>
  <si>
    <t>AD_None</t>
  </si>
  <si>
    <t>Attitude (ATT)</t>
  </si>
  <si>
    <t>ATT_Negative</t>
  </si>
  <si>
    <t>ATT_Positive</t>
  </si>
  <si>
    <t>Ethical Concerns (EC)</t>
  </si>
  <si>
    <t xml:space="preserve">The ethical concerns expressed by respondents regardless of their adoption and attitude towards Machine Translation systems. </t>
  </si>
  <si>
    <t>EC_Bias</t>
  </si>
  <si>
    <t xml:space="preserve">Use when the study reports concerns expressed by respondents about different kinds of bias in MT outputs. </t>
  </si>
  <si>
    <t>EC_Copyright</t>
  </si>
  <si>
    <t>EC_Data safety &amp; confidentiality</t>
  </si>
  <si>
    <t>EC_Environmental sustainability</t>
  </si>
  <si>
    <t>EC_Payment</t>
  </si>
  <si>
    <t>EC_Quality</t>
  </si>
  <si>
    <t>EC_Translators’ role &amp; status</t>
  </si>
  <si>
    <t>EC_Other</t>
  </si>
  <si>
    <t>Literacy (LIT)</t>
  </si>
  <si>
    <t>LIT_Generic</t>
  </si>
  <si>
    <t>Use this code for generic references to literacy/training (i.e., that do not mention any level or degree of literacy/training).</t>
  </si>
  <si>
    <t xml:space="preserve">LIT_None </t>
  </si>
  <si>
    <t xml:space="preserve">LIT_Low </t>
  </si>
  <si>
    <t>LIT_High</t>
  </si>
  <si>
    <t>Adoption (AD) &gt; AD_High</t>
  </si>
  <si>
    <t>Adoption (AD) &gt; AD_Low</t>
  </si>
  <si>
    <t>Adoption (AD) &gt; AD_Moderate</t>
  </si>
  <si>
    <t>Adoption (AD) &gt; AD_None</t>
  </si>
  <si>
    <t>Attitude (ATT) &gt; ATT_Negative</t>
  </si>
  <si>
    <t>Attitude (ATT) &gt; ATT_Positive</t>
  </si>
  <si>
    <t>Ethical Concerns (EC) &gt; EC_Bias</t>
  </si>
  <si>
    <t>Ethical Concerns (EC) &gt; EC_Copyright</t>
  </si>
  <si>
    <t>Ethical Concerns (EC) &gt; EC_Data safety &amp; confidentiality</t>
  </si>
  <si>
    <t>Ethical Concerns (EC) &gt; EC_Environmental sustainability</t>
  </si>
  <si>
    <t>Ethical Concerns (EC) &gt; EC_Other</t>
  </si>
  <si>
    <t>Ethical Concerns (EC) &gt; EC_Payment</t>
  </si>
  <si>
    <t>Ethical Concerns (EC) &gt; EC_Quality</t>
  </si>
  <si>
    <t>Ethical Concerns (EC) &gt; EC_Translators’ role &amp; status</t>
  </si>
  <si>
    <t>Literacy (LIT) &gt; LIT_Generic</t>
  </si>
  <si>
    <t>Literacy (LIT) &gt; LIT_High</t>
  </si>
  <si>
    <t xml:space="preserve">Literacy (LIT) &gt; LIT_Low </t>
  </si>
  <si>
    <t xml:space="preserve">Literacy (LIT) &gt; LIT_None </t>
  </si>
  <si>
    <t>Use when there is a generic reference to ethical concerns and no specific concern is highlighted.</t>
  </si>
  <si>
    <t>Different population</t>
  </si>
  <si>
    <t>Project managers</t>
  </si>
  <si>
    <t>Academia</t>
  </si>
  <si>
    <t>Employers and project managers</t>
  </si>
  <si>
    <t>LSP, training institutes, clients</t>
  </si>
  <si>
    <t>Academia, associations and LSP</t>
  </si>
  <si>
    <t>1. Automation is not an immediate threat
The researcher concludes that in the short to medium term, automation is not a danger to the translation profession. This is because technology typically replaces specific repetitive tasks rather than entire occupations (a concept known as Polanyi’s paradox). In translation, tools like MT and translation memory (TM) serve to assist rather than replace human professionals, who remain essential for abstract decision-making and creative intelligence.
2. Misunderstanding of Translators' Stance on MT
A central conclusion is that translators’ famously negative attitude towards Machine Translation (MT) is frequently misunderstood. The analysis suggests that:
• Most criticisms are not rooted in a fear of being outperformed by machines; translators generally believe their professional skills do not compete with low-quality MT.
• Instead, hostility is directed at the technology’s limitations and the negative market consequences (such as the "low-cost appeal" that allows clients to use MT as a way to save money at the expense of quality).
3. Pay Grievances are Business-Driven
The sources conclude that MT is a secondary issue in translators’ complaints regarding pay. Most economic dissatisfaction is rooted in business practices, specifically:
• The downward pressure from agencies that shape the sector to suit their own business models.
• The "unreasonable" billing techniques where agencies apply discount structures intended for human-confirmed TMs to MT output.
• The researcher notes that national statistics do not show a systematic downward trend in pay, suggesting that for many, technology's impact on rates is compensated by an increase in work volume.
4. Warning Against Market Fragmentation
The study warns against a potential "mass exodus" of qualified translators from technical domains towards more creative sectors like transcreation. The author concludes that:
• Hierarchising services (viewing creative work as "superior" to technical work) may lead to a narrowing of the role of translation.
• Abandoning technical sectors could lead to de-professionalisation, where tasks are left to individuals with no translation training while the core linguistic work is fragmented.
5. Recommendation for a Broadened Professional Role
Ultimately, the study calls for a broadening of the translator’s role. The researcher argues that:
• Translators should be viewed as comprehensive communication professionals and consultants on cultural and technological issues, rather than just linguistic transcoders.
• The industry should move away from "dystopian discourses" and instead focus on open dialogue and business models that integrate the role of translators across all domains.
• In any debate regarding the future of the profession, MT cannot be decoupled from its economic effects and market reverberations.</t>
  </si>
  <si>
    <t>1. Integration of Standard over Specialised Tools
The researcher established a baseline for Canadian literary translators, concluding that they make extensive use of standard computer tools (such as word processors) and electronic resources (such as online dictionaries and search engines) to support their work. However, there is little use of more specialised technologies like Translation Memory (TM) or Machine Translation (MT), which are often perceived as unsuitable for the stylistic complexities of literary texts.
2. Barriers to Specialised Technology Adoption
The study concludes that several significant barriers prevent the adoption of Computer-Assisted Translation (CAT) tools in the literary domain. Beyond the perceived unsuitability for non-repetitive texts, the high cost of professional platforms and a general lack of familiarity with the software act as major deterrents.
3. The "Creative" and "Ad Hoc" Use of Technology
A significant conclusion is that a small minority of literary translators employ specialised tools in unexpected or "creative" ways that differ from standard industry practices. For instance, some use TM for maintaining complex formatting rather than for repetitive segments, or use MT as a research aid for synonyms rather than for generating primary output. The researcher concludes that translators have a broad range of ad hoc needs (particularly for linguistic and cultural research) that are not currently met by existing specialised tools.
4. Limitations of Current Training Models
The survey revealed no apparent relationship between having received technology training and the actual use of specialised translation tools. This led the author to conclude that current training models may need to be rethought for literary translators, focusing more on awareness-raising, sharing best practices, and highlighting the "affordances" (potential uses) of various tools.
5. Future Recommendations for the Industry
Ultimately, the study recommends that future developments and research should focus on improving digital tools to specifically support the research-heavy, non-repetitive nature of literary work. The author concludes that for stabilisation to occur, literary translators must be actively included in the dialogue between researchers and developers to ensure that future technology is both accessible and relevant to their unique workflow.</t>
  </si>
  <si>
    <t>1. The Persistent Awareness Gap
The most striking conclusion is that lack of awareness remains a major obstacle to technology adoption in the literary sector, more than fifteen years after it was first identified in broader translation studies.
• Translators are generally aware of basic tools like translation memories (TM) and termbases, but they are largely unaware of recent advances like interactivity and adaptivity, which are actually the features most relevant to creative work.
• Some respondents shifted their "prejudices" toward technology after receiving information during the survey, suggesting that familiarity, not active rejection, is the main reason for low usage.
2. Disconnect Between General and Specific Tech
The study concludes that there is a stark divide in how literary translators use technology:
• 99% use general technology (word processors, digital dictionaries), proving they are not "Luddites".
• However, only 18% use specialized translation technology (CAT tools or MT) for their literary projects.
• The strongest predictor for using technology in literary work is whether the translator already uses it for non-literary work.
3. Education as a Lifelong Process
A key conclusion is that education and training are decisive factors in technology acceptance.
• Translators who received technology training were significantly more likely to use these tools in their professional practice.
• Because technology evolves so rapidly, the researcher concludes that "translation education must be understood as a lifelong process" rather than something that ends at graduation.
4. Creative Barriers and the "Speed" Paradox
The study concludes that literary translators view technology through a different lens than institutional or technical translators:
• Speed is not a priority: In literary translation, "speed" is often viewed as less important than the time needed to consider every word. Consequently, tools marketed for "efficiency" are often met with skepticism.
• Creativity Concerns: Translators fear that technology (especially MT) cannot capture style, humor, or cultural nuance, and that working at the sentence level disrupts the artistic flow of a document.
• The "Amanuensis" Model: The ideal relationship, as suggested by the conclusions, is for the computer to act as a supportive assistant (an amanuensis) that magnifies human productivity without "dehumanizing" the text or taking control away from the artist.
5. Potential for High-Quality Niche Tools
Despite the current low usage, the survey concludes there is a high potential for future adoption if tools are redesigned for the creative process:
• 70% to 90% of respondents believe specialized technology could be "sometimes useful" if it were more adapted to their needs.
• Future tools should move beyond the sentence level, offer easy access to large literary databases, and remain as unobtrusive as possible.</t>
  </si>
  <si>
    <t>The Satisfaction-Adoption Paradox: Although MT usage has become more widespread since 2017, dissatisfaction levels have risen disproportionately. Only about one-third of MT users rate their experience as positive, and satisfaction is particularly low for those forced into post-editing and reviewing roles.
Risk of Market Disruption (Adverse Selection): The study concludes that the profession faces a significant threat of attrition, or "brain drain". Over 40% of participants expressed a willingness to abandon the trade if technology integration continues to diminish job satisfaction. This leads to "adverse selection," where the most qualified or "good" translators leave for other professions (such as the public education system) where they can find better financial stability and social recognition.
Education as a Protective Factor: A key conclusion is that formal training is a vital buffer against technology-induced attrition. Translators with degrees specifically in translation or those who have engaged in Continuous Professional Development (CPD) regarding MT are significantly less likely to leave the profession than those who reject such training.
A Critique of the MT/AI Industry: Brogueira concludes that unlike earlier CAT tools, modern MT and Generative AI systems largely exclude translators from their development processes. This has led to a model focused on "automation efficiency" rather than the needs of the human user, contributing to the current sense of professional alienation.
The Necessity of Human-Centered Design: To retain talent and avoid a "talent crunch," the author concludes that the industry must shift toward a "human-centered approach to augmented translation". This model focuses on the amplification of human abilities and empowerment, maintaining human control rather than merely emulating human activity.</t>
  </si>
  <si>
    <t>1. Widespread Technological Integration vs Legacy Practices
The researchers conclude that technology is now far more frequent and widespread across all stages of the literary translation process than traditional methods. Although traditional tools, such as printed dictionaries and manuals, are still used (particularly during the translation and documentation stages) they are no longer the primary resources. The study reveals a wider acceptance of technological tools in the Spanish market compared to previous benchmark studies, indicating a shift in the professional landscape.
2. Notable Rise of Machine Translation (MT)
A key conclusion is the significant rise in the integration of MT systems into the workflow of literary translators. With nearly half of the respondents using systems like DeepL or Google Translate, the authors note a shift in mentality likely caused by the increased sophistication of these tools and their global adoption in the broader translation market.
3. Resistance to Generative AI
In contrast to general technology, the sources conclude that AI-based tools like chatbots are rarely perceived as allies. Key findings regarding this resistance include:
• Comfort Gap: While translators feel at ease with general word processors and databases, the vast majority (62.7%) feel uncomfortable applying AI to their creative work processes.
• Ethical Priority: For most practitioners, ethical concerns outweigh any perceived benefits. Concerns regarding the loss of translation quality, copyright infringement, and the standardisation of literary language are paramount.
• Limited Perceived Utility: The benefits of GenAI are seen as very restricted, mostly confined to documentation support and providing stylistic suggestions rather than aiding the core creative act.
4. Professional Anxiety and the "Pragmatic" Future
The study warns of a deep-seated unease regarding the impact of GenAI on future careers. Much of the pessimism and critical sentiment is rooted in ongoing poor working conditions, such as declining rates and increased pressure on working hours. Despite this, the largest group of participants holds a "pragmatic" view, envisioning a future where human expertise must collaborate with technological systems, even if they remain wary of the outcome.
5. Urgent Need for Regulation and Training
The authors conclude with a call for action in two specific areas:
• Regulation: There is an urgent need to regulate AI practices in publishing to ensure that technological progress is both ethical and economically viable for human creators.
• Education: Given that the predominant attitude among those willing to engage with the technology is a desire for more knowledge, the study suggests a need for proper training to help translators navigate the intersection of their physical and digital environments effectively.</t>
  </si>
  <si>
    <t>1. Future Outlook: Flourishing through Collaboration
The Dominance of AI: An overwhelming 97% of participants believe AI translation will continue to prevail and that new, more advanced applications will be developed in the future.
A Positive Trajectory: Despite the challenges, 93% of respondents envision their professional future "flourishing" specifically through a collaborative relationship with AI tools rather than being replaced by them.
Human as the Centrepiece: The findings suggest that translators will move toward consultative and advisory roles, acting as specialized experts in post-editing and quality assurance to ensure machine output aligns with human intent.
2. Critical Challenges and Fears
Identity and Autonomy: Nearly all participants (97%) expressed fears of losing their jobs to automation. Furthermore, 93% reported concerns regarding the loss of professional identity, autonomy, and creative control when relying on AI datasets.
Technical and Ethical Barriers: Respondents highlighted significant difficulties in handling technical complexity (87%) and accessing comprehensive training resources (80%).
Erosion of Value: 90% of participants worry about the diminishing importance of traditional human skills and values in an industry focused on the speed of machine translation.
3. Indispensable Human Skills
The study identified specific areas where human expertise remains "indispensable" to remain competitive:
Cultural and Ethical Oversight: Human translators are vital for maintaining ethical standards, preventing biased or misleading AI output, and ensuring cultural relevance (nuances that machines often miss).
Linguistic Mastery: 97% of participants identified advanced linguistic competence and terminology database management as the most critical skills for the AI era.
The "Human Touch": Skills in creative adaptation, localization, and interpersonal collaboration with clients were cited as unique human contributions that AI cannot replicate.
4. Recommended Strategies for Adaptation
To overcome the "automation anxiety" documented in the results, the study highlights several adaptive strategies:
Continuous Education: 93% of participants emphasized the need for continuous technology training and professional development programs to bridge the gap between human expertise and AI capabilities.
Rigorous Quality Control: Implementing strict data privacy and rigorous quality assurance processes allows translators to reposition themselves as essential "quality controllers" within the automated workflow.</t>
  </si>
  <si>
    <t>SLR Covidence Data Extraction - 2ndReviewer</t>
  </si>
  <si>
    <t>• Low-Quality Exploitation: Negative attitudes are frequently directed at the low quality MT provides and how clients use it as a low-cost appeal to save money, rather than an intrinsic aversion to the technology itself.</t>
  </si>
  <si>
    <t>Ultimately, the study concludes that in the short to medium term, automation is not a danger to the profession. Instead, the real risk lies in the fragmentation of the translator's role if professionals abandon technical domains in a "mass exodus" toward more creative sectors like transcreation.</t>
  </si>
  <si>
    <t>• MT for Brainstorming: Users of MT often use it as a research aid to find synonyms or verify proper nouns rather than as a primary translation tool.</t>
  </si>
  <si>
    <t>A significant conclusion is that a small minority of literary translators employ specialised tools in unexpected or "creative" ways that differ from standard industry practices. For instance, some use TM for maintaining complex formatting rather than for repetitive segments, or use MT as a research aid for synonyms rather than for generating primary output. The researcher concludes that translators have a broad range of ad hoc needs—particularly for linguistic and cultural research—that are not currently met by existing specialised tools.</t>
  </si>
  <si>
    <t>• The strongest predictor for using technology in literary work is whether the translator already uses it for non-literary work.</t>
  </si>
  <si>
    <t>Declining Resistance: The percentage of respondents who had never participated in an MT-explicit project dropped from 46% in 2017 to 34% in 2023.</t>
  </si>
  <si>
    <t>Translators identified several persistent hurdles for MT in European Portuguese, including:</t>
  </si>
  <si>
    <t>The Satisfaction-Adoption Paradox: Although MT usage has become more widespread since 2017, dissatisfaction levels have risen disproportionately. Only about one-third of MT users rate their experience as positive, and satisfaction is particularly low for those forced into post-editing and reviewing roles.</t>
  </si>
  <si>
    <t>Risk of Market Disruption (Adverse Selection): The study concludes that the profession faces a significant threat of attrition, or "brain drain". Over 40% of participants expressed a willingness to abandon the trade if technology integration continues to diminish job satisfaction. This leads to "adverse selection," where the most qualified or "good" translators leave for other professions—such as the public education system—where they can find better financial stability and social recognition.</t>
  </si>
  <si>
    <t>Education as a Protective Factor: A key conclusion is that formal training is a vital buffer against technology-induced attrition. Translators with degrees specifically in translation or those who have engaged in Continuous Professional Development (CPD) regarding MT are significantly less likely to leave the profession than those who reject such training.</t>
  </si>
  <si>
    <t>• Pre-translation Paradox: Linguists working in "pre-translation mode" (where the target zone is pre-filled with MT) reported statistically significant higher levels of control than those receiving MT suggestions in a separate window.</t>
  </si>
  <si>
    <t>• Task Variety: While 41% of respondents feel MT has made their work more varied and stimulating, an equal 41% remain neutral on the matter.</t>
  </si>
  <si>
    <t>The researcher highlights that in-house corporate settings provide an optimal environment for using technology because linguists can leverage MT without the economic pressures or rate-setting concerns faced by freelancers. Finally, the study concludes that university curricula must evolve:</t>
  </si>
  <si>
    <t>• Pragmatic (29.4%): The largest group expects a shift where AI is used for commercial works or routine tasks, but human quality remains a priority for high-level literature.</t>
  </si>
  <si>
    <t>The researchers conclude that technology is now far more frequent and widespread across all stages of the literary translation process than traditional methods. Although traditional tools, such as printed dictionaries and manuals, are still used—particularly during the translation and documentation stages—they are no longer the primary resources. The study reveals a wider acceptance of technological tools in the Spanish market compared to previous benchmark studies, indicating a shift in the professional landscape.</t>
  </si>
  <si>
    <t>The Dominance of AI: An overwhelming 97% of participants believe AI translation will continue to prevail and that new, more advanced applications will be developed in the future.</t>
  </si>
  <si>
    <t>Human as the Centrepiece: The findings suggest that translators will move toward consultative and advisory roles, acting as specialized experts in post-editing and quality assurance to ensure machine output aligns with human intent.</t>
  </si>
  <si>
    <t>Generalized Use: MT tool usage (including Google Translate and APIs for CAT tools) saw a major leap from 29% in 2017 to 53% in 2023.</t>
  </si>
  <si>
    <t>• Surprisingly, working in "pre-translation mode" (where the text is fully pre-filled with MT) led to statistically significant higher levels of perceived control than receiving suggestions in a separate window.</t>
  </si>
  <si>
    <t>A major finding is that specialized translation technologies, common in technical fields, have very low adoption rates in the literary domain.</t>
  </si>
  <si>
    <t>The researcher established a baseline for Canadian literary translators, concluding that they make extensive use of standard computer tools (such as word processors) and electronic resources (such as online dictionaries and search engines) to support their work. However, there is little use of more specialised technologies like Translation Memory (TM) or Machine Translation (MT), which are often perceived as unsuitable for the stylistic complexities of literary texts.</t>
  </si>
  <si>
    <t>• Preferred Tools: Termbases and TMs are viewed far more positively than MT.</t>
  </si>
  <si>
    <t>Despite the current low usage, the survey concludes there is a high potential for future adoption if tools are redesigned for the creative process:</t>
  </si>
  <si>
    <t>• Technological Tools: Adoption is nearly universal for certain digital resources. 100% of respondents use online dictionaries or databases, and 96.1% utilise word processors. Use of Machine Translation (MT) systems has risen significantly to 47.1%, a sharp increase compared to previous benchmark studies. CAT tools (31.4%) and chatbots (23.5%) have a more limited but growing presence.</t>
  </si>
  <si>
    <t>A key conclusion is the significant rise in the integration of MT systems into the workflow of literary translators. With nearly half of the respondents using systems like DeepL or Google Translate, the authors note a shift in mentality likely caused by the increased sophistication of these tools and their global adoption in the broader translation market.</t>
  </si>
  <si>
    <t>• Keywords: "Rate", "software", "computer", and "technology" were the most prominent terms, indicating that economic and technological issues are similarly weighted in the professional consciousness.</t>
  </si>
  <si>
    <t>• Professional Impact: Almost half (49%) of the participants reported that their work has not yet been affected by GenAI. However, 27.5% reported a negative impact on their professional setting (rates, workflow, or quality).</t>
  </si>
  <si>
    <t>The study warns of a deep-seated unease regarding the impact of GenAI on future careers. Much of the pessimism and critical sentiment is rooted in ongoing poor working conditions, such as declining rates and increased pressure on working hours. Despite this, the largest group of participants holds a "pragmatic" view, envisioning a future where human expertise must collaborate with technological systems, even if they remain wary of the outcome.</t>
  </si>
  <si>
    <t>The study found that translators’ famously negative stance on MT is often misunderstood; most criticisms are rooted in the technology’s limitations and market consequences rather than a fear of being "replaced".</t>
  </si>
  <si>
    <t>• Lack of Performance Anxiety: Most translators do not believe their professional skills compete with MT, noting that MT has significant errors and low quality. One participant noted they would only worry once computers start "writing great books".</t>
  </si>
  <si>
    <t>• Medium-Risk Categorization: While some models estimate translation to be a "medium-risk" occupation for automation (38% probability), the study argues that translation's reliance on creative and social intelligence acts as a "bottleneck" to full automation.</t>
  </si>
  <si>
    <t>The study warns against a potential "mass exodus" of qualified translators from technical domains towards more creative sectors like transcreation. The author concludes that:</t>
  </si>
  <si>
    <t>• Abandoning technical sectors could lead to de-professionalisation, where tasks are left to individuals with no translation training while the core linguistic work is fragmented.</t>
  </si>
  <si>
    <t>The Satisfaction Paradox: While respondents generally rate the evolution of MT quality positively (especially in accuracy and terminology), their personal satisfaction is declining.</t>
  </si>
  <si>
    <t>Negative Experiences: Dissatisfaction levels regarding MT projects rose from 22% in 2017 to 33% in 2023. Only one-third (34%) of respondents rated their MT experience as positive.</t>
  </si>
  <si>
    <t>Loss of Agency: Satisfaction is lowest for reviewers (2.28/5) and post-editors (2.31/5), with results suggesting a direct correlation between a translator's ability to control the use of MT and their level of fulfillment.</t>
  </si>
  <si>
    <t>Willingness to Leave: There has been a "significant leap" in the number of professionals willing to switch careers due to technology integration. In 2023, more than 40% of participants reported they would consider abandoning the translation profession if post-editing and reviewing become the norm.</t>
  </si>
  <si>
    <t>Demographic Vulnerability: The 31–40 age group exhibited the highest willingness to exit the market (69.2%), a segment that also contains a high representation of Audiovisual Translation (AVT) specialists.</t>
  </si>
  <si>
    <t>Impact on Income: Experienced translators have become increasingly pessimistic about the impact of MT on their income compared to 2017.</t>
  </si>
  <si>
    <t>A Critique of the MT/AI Industry: Brogueira concludes that unlike earlier CAT tools, modern MT and Generative AI systems largely exclude translators from their development processes. This has led to a model focused on "automation efficiency" rather than the needs of the human user, contributing to the current sense of professional alienation.</t>
  </si>
  <si>
    <t>• Comfort Levels: While 45.1% of respondents always feel comfortable with general technological tools, a vast majority (62.7%) stated they never feel comfortable using GenAI specifically in literary translation.</t>
  </si>
  <si>
    <t>• General Perception: Scepticism prevails, with 64.7% of translators holding a negative opinion regarding the inclusion of GenAI in publishing processes.</t>
  </si>
  <si>
    <t>• Pessimistic (25.5%): Fear that AI will devalue expertise and lead to poor-quality machine-translated texts.</t>
  </si>
  <si>
    <t>Identity and Autonomy: Nearly all participants (97%) expressed fears of losing their jobs to automation. Furthermore, 93% reported concerns regarding the loss of professional identity, autonomy, and creative control when relying on AI datasets.</t>
  </si>
  <si>
    <t>1. Pay Grievances are Rooted in Business Practices, Not MT
A primary finding of the research is that Machine Translation (MT) is a secondary issue when translators discuss pay.</t>
  </si>
  <si>
    <t>Mixed Economic Picture: National statistics and professional surveys do not corroborate a systematic downward trend in pay. While some sectors may experience falling rates, the study notes that for many, technology's downward effect on unit rates is often compensated by an increase in volume.</t>
  </si>
  <si>
    <t>• Complementary Tools: In most scenarios, technology assists rather than replaces translators. Tools like SDL Trados or memoQ allow translators to recycle fragments via translation memories but leave humans in charge of abstract decision-making and editing.</t>
  </si>
  <si>
    <t>• The "Amanuensis" Model: The ideal relationship, as suggested by the conclusions, is for the computer to act as a supportive assistant (an amanuensis) that magnifies human productivity without "dehumanizing" the text or taking control away from the artist.</t>
  </si>
  <si>
    <t>Protective Factors: Knowledge of MT through higher education and continuous professional development (CPD) positively influences attitudes. Those with a degree in translation are significantly less likely to abandon the profession than those with degrees in other fields.</t>
  </si>
  <si>
    <t>Training Impact: Participants who had received formal MT training showed a much lower risk of attrition (&lt;30%) compared to those who rejected such training (72.2%).</t>
  </si>
  <si>
    <t>• MT Quality: A significant positive correlation was found between the perceived quality of the MT system and the level of enjoyment experienced during PE tasks.</t>
  </si>
  <si>
    <t>A central conclusion is that translators’ famously negative attitude towards Machine Translation (MT) is frequently misunderstood. The analysis suggests that:</t>
  </si>
  <si>
    <t>Evolution of Professional Roles: The research concludes that traditional roles are shifting toward specialized expertise in post-editing, quality assurance, and data curation. Translators are expected to become "consultative and advisory" specialists who act as ethical guides, preventing biased or misleading AI output and handling the subjective human experiences that machines cannot grasp.</t>
  </si>
  <si>
    <t>◦ Ethical and legal issues, such as copyright and data privacy (88.2%).</t>
  </si>
  <si>
    <t>The sources conclude that MT is a secondary issue in translators’ complaints regarding pay. Most economic dissatisfaction is rooted in business practices, specifically:
• The downward pressure from agencies that shape the sector to suit their own business models.
• The "unreasonable" billing techniques where agencies apply discount structures intended for human-confirmed TMs to MT output.</t>
  </si>
  <si>
    <t>The Necessity of Human-Centered Design: To retain talent and avoid a "talent crunch," the author concludes that the industry must shift toward a "human-centered approach to augmented translation". This model focuses on the amplification of human abilities and empowerment, maintaining human control rather than merely emulating human activity.</t>
  </si>
  <si>
    <t>• Market Reality: Most translators (56.9%) are unaware if publishers use GenAI, and 86.3% have never been offered work post-editing literary texts produced by AI or MT systems.</t>
  </si>
  <si>
    <t>◦ Poor working conditions and reduced rates (88.2%).</t>
  </si>
  <si>
    <t>◦ Environmental impact of resource-intensive AI models (70.6%).</t>
  </si>
  <si>
    <t>Erosion of Value: 90% of participants worry about the diminishing importance of traditional human skills and values in an industry focused on the speed of machine translation.</t>
  </si>
  <si>
    <t>• Knowledge Sharing: The most frequent category of comments for both "rates" and "machine translation" involved offering and obtaining help, such as sharing knowledge on how to calculate quotes or discussing technical aspects of software.</t>
  </si>
  <si>
    <t>• Instead, hostility is directed at the technology’s limitations and the negative market consequences—such as the "low-cost appeal" that allows clients to use MT as a way to save money at the expense of quality.</t>
  </si>
  <si>
    <t>• Contextual Awareness: Translators demonstrated a sophisticated understanding of MT's limits, such as its inability to distinguish between specific terms (e.g., "journal" vs "magazine") without well-known context.</t>
  </si>
  <si>
    <t>• Most criticisms are not rooted in a fear of being outperformed by machines; translators generally believe their professional skills do not compete with low-quality MT.</t>
  </si>
  <si>
    <t>• Performance Concerns: The primary reason for non-adoption is the belief that technology cannot capture "human" elements like style, humor, metaphors, rhythm, and cultural nuance.</t>
  </si>
  <si>
    <t>A failure to distinguish between Brazilian and European Portuguese.</t>
  </si>
  <si>
    <t>Lack of contextual awareness and terminology inconsistencies.</t>
  </si>
  <si>
    <t>Literal translations and grammatical concordance issues.</t>
  </si>
  <si>
    <t>◦ Loss of translation quality (94.1%).</t>
  </si>
  <si>
    <t>Strategy for Survival: To overcome "automation anxiety" and widespread fears regarding job security (reported by 97% of participants), the study concludes that practitioners must adopt research-driven practices and continuous technology training. By positioning themselves as "indispensable partners" and quality assurance controllers, human translators can maintain their professional identity and competitive edge.</t>
  </si>
  <si>
    <t>The study contextualises these results within wider economic trends, such as the polarization of jobs.</t>
  </si>
  <si>
    <t>The researcher concludes that in the short to medium term, automation is not a danger to the translation profession. This is because technology typically replaces specific repetitive tasks rather than entire occupations—a concept known as Polanyi’s paradox. In translation, tools like MT and translation memory (TM) serve to assist rather than replace human professionals, who remain essential for abstract decision-making and creative intelligence.</t>
  </si>
  <si>
    <t>• Hierarchising services (viewing creative work as "superior" to technical work) may lead to a narrowing of the role of translation.</t>
  </si>
  <si>
    <t>• Translators should be viewed as comprehensive communication professionals and consultants on cultural and technological issues, rather than just linguistic transcoders.</t>
  </si>
  <si>
    <t>• The industry should move away from "dystopian discourses" and instead focus on open dialogue and business models that integrate the role of translators across all domains.</t>
  </si>
  <si>
    <t>Dominant Roles: In projects involving MT, the most frequent role reported is post-editor, followed by reviewer and translator.</t>
  </si>
  <si>
    <t>◦ Reduced recruitment of human translators (84.3%).</t>
  </si>
  <si>
    <t>• Change in Perception: While only 18% currently use the technology, 70% to 90% of respondents indicated that these tools could "sometimes be useful" after they were provided with more information during the survey.</t>
  </si>
  <si>
    <t>A key conclusion is that education and training are decisive factors in technology acceptance.</t>
  </si>
  <si>
    <t>• Expectations regarding the neural MT era should be shaped early in training to prepare students for the reality that MT is a prevalent, core part of the modern profession.</t>
  </si>
  <si>
    <t>• Willingness to Learn: Opinions are split on upskilling; while 37.3% are absolutely willing to learn more about GenAI, 31.4% only want essential information, and another 31.4% have no interest in learning about it at all.</t>
  </si>
  <si>
    <t>Technical and Ethical Barriers: Respondents highlighted significant difficulties in handling technical complexity (87%) and accessing comprehensive training resources (80%).</t>
  </si>
  <si>
    <t>Contextual Awareness: Translators demonstrated a sophisticated understanding of MT's limits, such as its inability to distinguish between specific terms (e.g., "journal" vs "magazine") without well-known context.</t>
  </si>
  <si>
    <t>• General Awareness: Most translators are aware of basic translation technologies like translation memories (TMs), termbases, and MT.</t>
  </si>
  <si>
    <t>The most striking conclusion is that lack of awareness remains a major obstacle to technology adoption in the literary sector, more than fifteen years after it was first identified in broader translation studies.</t>
  </si>
  <si>
    <t>• Translators are generally aware of basic tools like translation memories (TM) and termbases, but they are largely unaware of recent advances like interactivity and adaptivity, which are actually the features most relevant to creative work.</t>
  </si>
  <si>
    <t>• Some respondents shifted their "prejudices" toward technology after receiving information during the survey, suggesting that familiarity, not active rejection, is the main reason for low usage.</t>
  </si>
  <si>
    <t>Literacy &gt; SLR Covidence Data Extraction - 2ndReviewer &gt; Aim of study</t>
  </si>
  <si>
    <t>To situate translators’ discourse on machine translation and its potential economic reverberations within the context of broader work automation phenomena and empirical information on the translation profession.</t>
  </si>
  <si>
    <t>Literacy &gt; SLR Covidence Data Extraction - 2ndReviewer &gt; Main conclusions</t>
  </si>
  <si>
    <t>Literacy &gt; SLR Covidence Data Extraction - 2ndReviewer &gt; Main results</t>
  </si>
  <si>
    <t>Literacy &gt; SLR Covidence Data Extraction - 2ndReviewer &gt; Title</t>
  </si>
  <si>
    <t>Dutch literary translators’ use and perceived usefulness of technology - 
The role of awareness and attitude</t>
  </si>
  <si>
    <t>Portuguese translators' attitude to MT and its impact on their profession</t>
  </si>
  <si>
    <t>The study concludes that the profession faces a significant threat of attrition, or "brain drain". Over 40% of participants expressed a willingness to abandon the trade if technology integration continues to diminish job satisfaction. This leads to "adverse selection," where the most qualified or "good" translators leave for other professions—such as the public education system—where they can find better financial stability and social recognition.</t>
  </si>
  <si>
    <t>Nearly all participants (97%) expressed fears of losing their jobs to automation. Furthermore, 93% reported concerns regarding the loss of professional identity, autonomy, and creative control when relying on AI datasets.</t>
  </si>
  <si>
    <t>EVBTQZKV</t>
  </si>
  <si>
    <t>Impact of Mindset on Quality and Productivity
• Trust as a Catalyst: Translators with higher levels of trust in MT produced translations with higher quality and productivity. Trust showed a strong correlation with adequacy and a moderate correlation with fluency and productivity.
• The "Threat" Factor: Conversely, translators who perceived MT as a threat to the sustainability of the profession produced lower quality work and translated more slowly. This negative perception had a strong negative correlation with both adequacy and fluency.
• Open-mindedness: The results suggest that those with negative pre-task perceptions may fail to interact with the MT output "adequately or with an open-minded point of view," which directly impairs the final product.
Adequacy vs. Fluency
A key finding is that pre-task perceptions have a greater impact on adequacy than on fluency.
• MT-Driven Fluency: Because modern Neural Machine Translation (NMT) for the English-Spanish combination is already highly fluent (scoring 3.71/4 in this study), the final fluency of a text depends less on the translator’s mindset.
• Human-Driven Adequacy: Because the MT output for adequacy was slightly lower (3.48/4), the final adequacy score is more dependent on the translator. Therefore, a translator’s negative attitude is more likely to result in neglected or missed meaning-related errors.
Insignificance of Experience and Engagement
The study challenged some common assumptions regarding professional background:
• Experience: Whether a translator had extensive experience in post-editing or was relatively new to it had no statistically significant relationship with final translation quality or productivity. The researchers conclude that "it is the translator who matters," rather than their years of specific MTPE experience.
• Boredom vs. Engagement: Whether a translator found the task "boring" or "engaging" showed no significant correlation with fluency scores, suggesting that even uninspired translators can produce fluent results if the underlying MT system is strong</t>
  </si>
  <si>
    <t>1. Quality Gains
• Statistical Significance: Post-editing resulted in statistically significant quality improvements.
• Lower Error Scores: Using the American Translators Association (ATA) standardized scoring criteria (where a lower score indicates higher quality), post-edited texts achieved an average score of 21.9, whereas translated texts scored 34.7. This represents a substantial quality gain of approximately 47%.
• Fewer Errors: On average, post-edited texts contained 14.5 errors, compared to 22.9 errors in texts translated from scratch.
2. Time and Productivity Gains
• Faster Completion: Participants were generally faster when post-editing. The average time spent post-editing was 56.6 minutes, while translating from scratch took 67.1 minutes.
• Efficiency Increase: This difference represents a 16% decrease in time spent on task, or a gain of more than ten minutes per passage.
3. Impact of Participant Variables
• Credentials and Experience: Interestingly, the study found that years of experience and professional or academic translation credentials did not have a demonstrable impact on the quality or speed of the final product.
• Credentialed Translators: The data suggested that translators with credentials actually took approximately eight minutes longer to complete the tasks on average, though this was not statistically significant in predicting higher quality.
4. Participant Perceptions and Utility
• Expectations vs. Reality: Prior to the task, 62% of participants believed MT could improve speed, but only 23% expected it to improve quality. The actual results surpassed these expectations, particularly regarding quality.
• Terminological and Phraseological Benefits: There was a broad consensus that the MT output was most beneficial at the terminological and phraseological levels.
• Efficiency Factors: Participants reported that MT aided them by cutting down on typing time, decreasing the time spent thinking about how to translate specific terms, and reducing the need for external dictionary look-ups.
• Hindering Factors: Conversely, the process was slowed down by the need to fix word order, correct grammar errors, and the time required to read and understand the MT output.
In summary, the results highlight that even general-purpose statistical MT—at the height of its development—can serve as a contextually appropriate and productive tool for specialized legal translation, provided it is paired with human post-editing.</t>
  </si>
  <si>
    <t>Impact on Educational Quality and Standards
• Quality of Graduates: A significant majority of the sample (over 64%) argued that the integration of AI has had a positive impact on the quality of graduates in the field of translation.
• Precision and Accuracy: Over 70% of participants affirmed that the incorporation of AI into the teaching of translation studies has led to an enhancement in translation precision and accuracy.
• Facilitation of Learning: Approximately 74% of respondents agreed that AI has effectively facilitated the teaching and learning of translation at the university level.
Industry and Economic Outlook
• Global Recognition: More than 53% of stakeholders believe there is a positive correlation between the use of AI models and the global recognition of the translation industry.
• Attracting Investment: Over 53% of the study population affirmed that the integration of AI models by universities makes translation activities more appealing to investors.
• Workforce Growth: Over 56% of respondents agreed that AI integration would attract more students to study translation, thereby generating a larger workforce for the business.
Statistical Validation of Hypotheses
• Hypothesis 1 (Speed and Precision): Using a "one-sample t-test," the researchers found that mean scores were significantly higher than neutral, with p-values less than 0.05. This supports the conclusion that AI improves the speed and accuracy of translation and the training of experts.
• Hypothesis 2 (Business Growth): The empirical evidence suggested a significant association between machine learning algorithms and the expansion of the translation field. The study rejected the null hypothesis, finding that AI capacity generates advantageous consequences for the industry and the number of human translators.
General Stakeholder Sentiment
The descriptive statistics indicate that the perspective of stakeholders is predominantly positive. Despite some noted concerns in the literature regarding job displacement and cultural nuances, the study's data shows a substantial consensus that AI serves as a revolutionary tool for enhancing efficiency, innovation, and productivity within the sector.</t>
  </si>
  <si>
    <t>1. Universal Pride vs. Employment Disparity
• Strong Sense of Pride: All translators, regardless of their employment model, reported a strong sense of pride in their work (averaging 4.21 on a 5-point scale). They also generally enjoy the task of translation.
• The Satisfaction Gap: Freelance translators scored significantly lower than public servants in key satisfaction areas. For instance, public servants reported a higher sense of work purpose (4.25) compared to freelancers (3.68).
• Fairness and Pay: A significant difference was found regarding the perceived fairness of payment and procedures, where public servants and company employees averaged a score of 4.0, while freelancers averaged only 3.07.
2. Job Security and Professional Isolation
• Security Contrast: Public servants feel very secure in their roles (1.75 on a scale of "no security"), whereas freelancers feel much more precarious (3.18).
• Isolation: The study found a general tendency for translators to feel isolated at work (averaging 2.71). For some freelancers, this isolation was described as "literally killing me" and was a primary reason for considering leaving the profession.
3. Major Professional Threats: The "Race to the Bottom"
• Top Concerns: When asked about the main threats to the profession, the most cited issues were falling quality (27 responses), low rates (23 responses), and Machine Translation (MT) (11 responses).
• Price Pressure: Participants described a "race to the bottom" where agencies aggressively lower rates, sometimes as low as €0.05 per word, leading to a situation where price is prioritised over precision and experience.
• Unqualified Competition: Translators expressed frustration with a "shortage of good Irish translators," which often results in assignments being poorly performed by unqualified individuals.
4. Divergent Attitudes Toward Technology
• MT and Post-Editing: Attitudes toward MT were mixed, with 22 negative comments versus 15 positive ones. Freelance translators generally feel threatened by technology and expressed "powerlessness" regarding their translations being used to train MT engines.
• Public Service View: In contrast, public service translators were more well-disposed toward technology, viewing MT as a tool to help handle the large volumes of work required by the end of the EU derogation.
• Creative Freedom: Interestingly, freelance work was seen as offering a greater opportunity to be creative (3.48) compared to work in the public service (2.88).
5. The Irish Language Policy Context
• Domestic vs. EU Policy: Respondents were largely negative about domestic Irish language policy, with many feeling that the requirement to translate reports "that nobody ever reads" was unhelpful.
• EU Benefits: Conversely, all 52 respondents agreed that the EU is beneficial for the Irish language, viewing it as a path toward the "normalisation" of the language in a modern setting.
• Technological Optimism: Most participants (all but two) were positive about the effects of social media and technology on the visibility and revival of the Irish language outside of traditional Gaeltacht areas.</t>
  </si>
  <si>
    <t>1. Adaptation in Teaching Practices
The findings suggest that a significant portion of senior lecturers have incorporated AI into their pedagogical frameworks.
• Frequent Integration: A majority of the lecturers (51.82%) reported that they frequently integrate AI-driven translation tools into their teaching of post-editing practices.
• Curriculum and Methodology: Approximately 54.54% of respondents affirmed that they effectively align their teaching methods and curriculum to accommodate these technological innovations.
• Student Performance: There is a prevailing conviction among educators (55.45%) that integrating AI tools into the classroom improves students' performance in translation practice.
• Challenges: Regarding the obstacles encountered during integration, the participants maintained a neutral stance. The researchers noted that while some lecturers may face difficulties, a considerable number do not identify notable obstacles in the transition.
2. Professional Attitudes and Productivity
The survey revealed a highly favourable perspective on the impact of AI on the lecturers' professional roles.
• Efficiency: The highest level of agreement was recorded regarding efficiency, with 83.63% of respondents (36.36% strongly agree and 47.27% agree) affirming that AI-driven tools enhance the efficiency of their teaching and research.
• Productivity: Nearly 61% of senior lecturers believe that these tools have a beneficial effect on their overall productivity.
• Satisfaction: More than 53% of the participants expressed satisfaction with the outcomes of using these technologies while instructing students.
3. Ethical and Professional Outlook
Despite the high adoption rates, the participants remained more reserved concerning the broader implications of the technology.
• Neutrality on Ethical Issues: The lecturers held a neutral or balanced viewpoint regarding the ethical and professional issues associated with AI, such as data privacy, stereotypes, and potential job replacement.
• Cautious Optimism: On average, the respondents possessed an impartial perspective on the future of AI, suggesting that they view the technology with a combination of caution and optimism based on their personal professional experiences.
Summary of Findings
The researchers concluded that the positive attitudes of the participants are a clear indicator of their acceptance of AI tools in the translation field. The study highlights that the primary motivation for this adaptation is to equip students with in-demand post-editing skills while simultaneously increasing the productivity of the educators themselves.</t>
  </si>
  <si>
    <t>1. Convenience in the Translation Process
The survey found a statistically significant difference in the perceived difficulty of searching for language components between human translation (HT) and machine-translation post-editing (MTPE).
• Vocabulary Searches: Participants found searching for vocabulary in MTPE significantly more convenient than in HT. In the 2-scale analysis, 77.7% of translators found vocabulary searches difficult in HT, whereas only 48.9% found them difficult in MTPE.
• Terminology Searches: A similar trend was observed for terminology. 89.4% of participants reported difficulty searching for terminology in HT, compared to 62.8% in MTPE.
• Reduced Cognitive Load: The researchers concluded that because MTPE presents terminology and vocabulary in advance from existing data, it alleviates the "cognitive and psychological burden" of having to search from dictionaries and thesauri from scratch.
2. Satisfaction with the Final Product
Contrary to previous findings in Korea, Vietnamese student translators displayed an equal level of satisfaction across all quality metrics for both HT and MTPE products.
• Accuracy and Fluency: There was no significant statistical relationship between the translation method and the accuracy (p=.915) or fluency (p=.607) of the output. For accuracy, 85.1% were satisfied with HT products and 83% with MTPE products. For fluency, 76.6% were satisfied with HT and 75.5% with MTPE.
• Idioms and Terminology Usage: Participants showed equal preference for the usage of idioms and terminology in both methods. Satisfaction with idiom usage was nearly identical, with 60 participants satisfied with HT and 66 with MTPE.
• Trust in MTPE: The researchers concluded that Vietnamese translators "do not mind using MTPE" and demonstrate a high level of trust in its quality, possibly because they focus more on the delivery of intended meaning rather than sophisticated syntactic nuances.
3. Satisfaction with Payment
The survey examined whether the translation method impacted the participants' satisfaction with their remuneration.
• Equal Satisfaction: While initial 4-scale testing showed a slight difference (p=.027), the directional 2-scale view showed no difference at all (p=1).
• Remuneration Perception: A total of 76.6% of translators (72 out of 94) were satisfied with the pay for both HT and MTPE services. Unlike the Korean translators in previous studies, the Vietnamese participants were generally satisfied with the compensation for both types of work.
4. Comparative Insights (Vietnam vs. Korea)
The study's results are notable when compared to the Hong and Lee (2021) study with Korean translators mentioned in our conversation history:
• Korean Context: Korean translators perceived the quality and process of HT as superior to MTPE across accuracy, fluency, and idiomatic expression.
• Vietnamese Context: The Vietnamese student generation is significantly more technology-positive, perceiving MTPE as a trustworthy method that provides better convenience in the process without compromising the product's accuracy or their own financial satisfaction.</t>
  </si>
  <si>
    <t>• PE process and product: The two primary aspects of the study, covering both the actions taken during editing and the resulting translated text.
• Productivity and final quality: The core metrics used to assess the commercial viability and professional success of post-editing.
• Post-editor variation: A term describing the observation that translators exhibit diverse individual behaviours and styles when performing identical tasks.
• Perceived, temporal, technical, and cognitive effort: The multi-dimensional framework used to measure the "work" involved in post-editing.
• Acclimatisation effect: A concept suggesting that post-editors expend more effort at the beginning of a task while familiarising themselves with the text.
• Fatigue effect: The negative impact on quality that occurs when participants lose concentration or tire towards the end of a translation task.
• Language directionality: The distinction between translating into a native language (L1) versus a second language (L2), which the study concludes has no significant impact on post-editing performance.
• Ecologically valid methods: Research approaches designed to reflect real-world scenarios and naturalistic environments rather than strictly controlled laboratory settings.
• Construct validity: A research standard concerning the degree to which a test measures what it claims to measure, which the author notes can sometimes conflict with ecological validity.
• Edit density indicator (EDI): A potential new metric introduced by the author to quantify the amount of editing performed on a machine-translated sentence.
• Aptitude profile: A proposed diagnostic framework to help identify individuals best suited for professional post-editing roles.
• Translator-computer interaction (TCI): The specific sub-field of human-technology cooperation that focuses on how translators engage with digital tools.
• Cognitive translatology: An emerging area of the "scientific study of translation" that incorporates diagnostic techniques to measure brain activity and mental processes.</t>
  </si>
  <si>
    <t>• Prior forms of technology training: The central variable explored in the conclusion to determine if educational background relates to professional tool adoption.
• Frequency of use: The metric used to measure how often PSITs deploy specific technologies in their work.
• Determining factor: A term used to describe the role that the nature of the training method may play in whether a professional adopts a specific technology.
• Subjective claims: A methodological term used to acknowledge a limitation of the study, as the data measures what respondents say they do rather than observed behaviour.
• Misconceptions: Refers to instances where respondents interpreted questions differently than intended, such as confusing termbase (TB) management tools with general internet searches.
• Subgroups (Public service interpreters vs. public service translators): A critical distinction identified in the conclusion; the authors note that failing to separate these roles may distort the view of technology use since the tasks are fundamentally different.
• Professional contexts: The specific work environments of individual respondents, which the authors conclude must be explored more deeply to understand technology adoption.
• Work regime (Employee vs. freelancer): A professional status category that the researchers identify as a potential influence on how frequently a linguist uses technology.
• Attitudes towards technology: A psychological factor identified as a necessary pathway for future research to complement data on usage frequency.
• Languages of lesser diffusion: A term for languages that have fewer digital resources or tools available, which the authors conclude may limit a professional's ability to use certain technologies.
• Bridging instruments: Though used throughout, this term appears in the conclusion to define the role technology plays in facilitating communication within multilingual service provision.</t>
  </si>
  <si>
    <t>Enhancement of Academic and Professional Standards
• Quality of Graduates: The researchers conclude that incorporating AI into university curricula has a favourable impact on the quality of graduates. This is supported by practitioners and scholars who recognise that AI tools are essential for training modern translation experts.
• Teaching and Learning: AI has effectively facilitated the teaching and learning of translation at the university level, providing enhanced pedagogical practices and better educational outcomes.
• Precision and Accuracy: The study confirms that AI-powered instruction leads to a notable improvement in translation precision and accuracy, likely because students and graduates use these tools to refine their skills.
Industry Expansion and Economic Growth
• Global Recognition: The authors conclude that the use of AI models correlates positively with the global recognition of the translation industry. The field is increasingly viewed as a primary and lucrative profession rather than just a supplementary business activity.
• Investment and Productivity: Integration makes translation activities more appealing to investors, which is expected to enhance communication models and overall industry productivity.
• Workforce Development: Contrary to fears of replacement, the study concludes that AI integration will actually attract more students to the field, thereby generating a larger workforce for the translation business.
Statistical and Transformative Impact
• Validation of AI Benefits: Statistical analysis (t-tests) validated that AI integration significantly improves the speed and precision of the translation process and the training of professionals.
• Expansion of the Field: The empirical evidence shows a statistically significant association between the application of machine learning algorithms and the expansion of the translation sector, alongside a rise in the number of human translators.
• Novel Pedagogical Models: The study concludes that AI will continue to produce novel techniques and innovative models for teaching, fostering collaborations that advance the entire discipline of translation studies.
Ultimately, the consensus among stakeholders is predominantly positive, viewing AI as a revolutionary force that enhances the calibre of the profession while requiring translators to acquire a fresh skill set based on human-AI collaboration.</t>
  </si>
  <si>
    <t>1. Widespread Acceptance and Professional Encouragement
The researchers conclude that the predominantly positive attitudes displayed by senior lecturers are clear indicators of their acceptance of AI tools in the translation field. Despite varied personal perspectives, the collective findings suggest that these experienced educators encourage the integration of AI tools into the translation post-editing workflow rather than resisting it.
2. Dual Benefits: Student Skills and Lecturer Productivity
A central conclusion of the study is that adaptation to these technologies serves a twofold purpose:
• Student Preparedness: Integrating AI-driven tools equips translation students with "in-demand post-editing skills" that are increasingly required by the modern translation industry.
• Educator Efficiency: For the lecturers themselves, the use of these tools increases productivity and enhances the efficiency of both their teaching and research practices.
3. Alignment with Industry Progression
The authors conclude that senior lecturers are uniquely qualified to validate this technological shift because they have observed the long-term progression of the translation sector. Their adaptation involves more than just using the tools; they are effectively aligning teaching methods and curricula to accommodate industry demands and technological innovations.
4. Neutral Stance on Ethics and Challenges
A notable conclusion is the impartial or neutral viewpoint maintained by the majority of lecturers regarding the ethical and professional implications of AI, such as data privacy, stereotypes, and potential job replacement. This suggests that while educators are optimistic about the efficiency gains, they remain cautious, drawing from their personal professional experiences to maintain a balanced outlook.
5. Essential Interplay of Motivation and Adaptability
Finally, the researchers conclude that the effective incorporation of AI tools in translation education is contingent upon the interplay between motivation and adaptability. These factors work together to maximise the benefits of AI, ensuring that students are prepared for the "dynamic realm" of language technology while improving the overall quality and speed of the translation process.</t>
  </si>
  <si>
    <t>Validation of Professional Bias
The study concludes that the initial hypothesis—that literary translators hold a biased or sceptical opinion of machine translation—is correct. Even though 98.5% of the participants use these tools, nearly half (46.3%) maintain a negative appraisal of them. This creates a paradox where professionals use the technology for efficiency but continue to view it as a "usurper" of the purity of their profession.
Psychological Barriers to Adoption
According to the sources, the negative attitudes identified are driven by specific psychological factors:
• Fear of Obsolescence: Translators are anxious about the unknown and fear that new technologies will make them obsolete, leading to a loss of livelihood.
• Defence Mechanisms: Many translators reject or criticise automation as a "defence mechanism" to maintain personal control over the creative translation process.
Risks of Over-dependence
A significant conclusion of the research is that total dependence on automation is dangerous for literary quality.
• "Sentence Salad": The study warns that relying solely on AT for aesthetic texts can result in a lack of cohesive style, producing contextually inconsistent "sentence salad".
• Cognitive Stagnation: There is a concern that upcoming translators are becoming "digitally dependent," failing to develop the essential cognitive abilities required for high-level translation.
The Indispensability of the Human Translator
Despite the rise of AI, the study concludes that human expertise remains essential.
• Recognition of Expertise: Most participants believe their expertise is still recognised by clients and end-users, and that their professional status has not necessarily been downgraded by the existence of AT.
• Autonomy: The authors conclude that literary translators are unlikely to lose their autonomy or expertise if they use their cognitive abilities to verify and post-edit machine output rather than accepting it blindly.
The Need for a Mindset Shift and Training
The researchers conclude that to remain relevant in "interesting and lucrative" areas of the industry, translators must undergo a change in professional mindset. The study highlights a critical lack of formal education, as 64.2% of users have no formal training in these tools. Consequently, the study concludes with an urgent call for academic institutions and professional bodies to:
• Incorporate translation technology into all levels of university curricula.
• Champion expert-led professional development programmes to encourage positive mindsets and efficient usage habits.</t>
  </si>
  <si>
    <t>1. Significant Efficiency and Quality Gains
The primary conclusion is that post-editing (PE) is superior to translating from scratch in terms of both speed and the quality of the final product. Specifically:
• Time: Post-editing resulted in an average 16% decrease in time spent on task (approximately 10.5 minutes faster per passage).
• Quality: The quality gains were statistically significant, with post-edited texts receiving substantially better scores than those translated manually. Post-editing reduced the average error score by as much as 47%.
2. Terminological and Phraseological Utility
The authors conclude that general-purpose, data-driven MT is a contextually appropriate tool for legal translation, particularly at the terminological and phraseological levels. Participants broadly agreed that the MT output was most useful for handling specialized terms and legal collocations, such as "felony charge" or "emitir una orden" (issue a warrant). This is significant because legal translation is traditionally viewed as an area where terminology is a major hurdle.
3. Negligible Impact of Professional Credentials
A striking conclusion of the study is that professional variables—such as years of experience or academic credentials—did not have a demonstrable impact on the quality or speed of the post-editing process. The data suggested that even translators with extensive experience or formal certifications did not necessarily perform better or faster when post-editing than their less-qualified peers. This implies that traditional translation expertise does not automatically translate into a specific "post-editing" advantage.
4. Overcoming Skepticism (Expectation vs. Reality)
The study highlights a clear disconnect between translator expectations and actual results. Prior to the task, only 23% of participants believed MT could improve quality, yet the final data showed a massive, statistically significant improvement. The researchers conclude that general-purpose MT can provide usable and effective translation suggestions that exceed the initial confidence levels of the professionals using them.
5. Continued Relevance of Statistical MT
Despite the industry shift toward Neural Machine Translation (NMT), the authors conclude that Statistical Machine Translation (SMT) remains a relevant and powerful tool for the legal domain. By referencing external studies (such as Koehn and Knowles, 2017), they note that SMT often outperforms NMT in legal contexts because it is less prone to the "hallucinations" or inaccuracies that can occur when NMT prioritises sentence fluency over lexical accuracy.
6. Potential for Human-MT Collaboration
Ultimately, the study concludes that if translators leverage technology voluntarily and engage with it more regularly, the industry could see even more substantial gains in productivity. The authors suggest that future training should focus on helping translators identify which MT-generated features (such as syntax or rare terminology) are most likely to require human intervention to ensure the best possible outcome.</t>
  </si>
  <si>
    <t>1. Rejection of Pessimistic Job Destruction Scenarios
The researchers conclude that the pessimistic scenarios common in academic literature—which predict mass job losses due to AI—are not justified in the case of Bulgarian translators. While some futurists have compared translation to "extinct" roles like lamplighters, the survey data suggests that translators do not believe their profession will be destroyed by technological change.
2. Role Evolution: From Translator to "AI Teacher"
Instead of acting as a threat to existing jobs, the sources conclude that AI serves as an "organiser of new activities within the profession". The professional role is shifting in two specific directions:
• Post-editing: Translators will increasingly focus on editing and proofreading machine-translated texts rather than translating from scratch.
• System Training: Translators are becoming "AI teachers" who supervise and improve machine translation systems.
3. Preservation of Human Creativity
A central conclusion is that human creativity remains a "conquered" territory that AI cannot yet emulate. The study found a nearly universal conviction (96%) that AI will never replace human creativity or be able to convey emotions effectively. Consequently, the researchers conclude that AI will dominate routine, technical, and legal translations but will have minimal impact on creative fields such as fiction, screenplays, and interpretation.
4. Conceptual Gaps and "Helpful Assistants"
The authors conclude that there is a significant lack of conceptual awareness among practitioners regarding what AI actually is. Most translators:
• Cannot distinguish between narrow AI and simple automation, attributing the speed and efficiency of automation to AI.
• View AI as a "helpful assistant" rather than a self-learning machine that could jeopardize their professional existence.
5. Strategic Needs for the Future
The study concludes that current predictions of the profession’s extinction are premature. However, to remain relevant, the researchers suggest several strategic shifts:
• New Skillsets: Professional organisations must focus on developing new skills and predicting future technological trends.
• Training Adaptation: The results highlight a need for translators to be educated in how to interact with and supervise machines.
• Stakeholder Research: Future exploration should include the expectations of corporate and individual users of AI-generated translations to see if they align with the views of the translators themselves.</t>
  </si>
  <si>
    <t>1. Erosion of Career Sustainability
The most striking conclusion is that, for the first time in the survey's history, the belief that freelancing is a viable long-term career has dropped below 50%. This loss of confidence is pervasive across all levels of experience, but it is most acute among junior professionals (less than two years of experience), whose confidence in financial sustainability plummeted to 41%. Consequently, nearly one in four (23%) independent professionals is considering ending their freelance career entirely.
2. Devaluation of Work via Technology
The survey concludes that the rapid, and often "indiscriminate," adoption of AI and machine translation (MT) is the primary driver of professional stress.
• The Post-Editing Trap: Professionals report a frustrating shift from human translation to "discounted and less-valued post-editing," which is seen as a root cause of income loss.
• Negative Sentiment: Independent professionals hold the most negative views on AI and MT in the industry, with 60% viewing these technologies as a negative trend, compared to more balanced views from language companies.
3. Market Pressure and Structural Shifts
The survey identifies a "slippery slope" regarding market performance and pricing.
• Price Erosion: Freelancers expect further price erosion in 2025 and report that competition is increasing even as the total number of providers in the market slightly drops.
• LSC Relationship Crisis: There is a profound sense of being "trapped" in a system where it is virtually impossible to negotiate rates, payment terms, or general conditions with large Language Service Companies (LSCs). This has led many to plan an accelerated shift toward finding direct clients instead.
4. Financial Insecurity and Income Satisfaction
Economic instability is at the core of freelancer anxiety:
• Low Satisfaction: Only 57% of respondents reported earning enough from their freelance work to feel satisfied, with translators and those with mixed profiles (translator-interpreters) reporting lower satisfaction than standalone interpreters.
• Stress Factors: The top stressors for 2025 are pay/rates (61%), the cost of living (54%), and the economic climate (51%), closely followed by the rise of MT/AI.
5. Proactive Adaptation and Upskilling
Despite the "doom and gloom" sentiment, the survey concludes that the majority of professionals are choosing to adapt rather than exit immediately:
• Upskilling: A significant 72% intend to acquire new skills to remain competitive.
• Diversification: Over half (57%) are considering developing another main activity or changing their professional focus to new services or client sectors.
• Continuous Professional Development (CPD): There is a heightened focus on sales and marketing training, alongside subject-matter expertise, as professionals attempt to regain control over their business prospects.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</si>
</sst>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6" formatCode="[$-F800]dddd\,\ mmmm\ dd\,\ yyyy"/>
  </numFmts>
  <fonts count="20"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rgb="FF000000"/>
      <name val="Arial"/>
      <family val="2"/>
    </font>
    <font>
      <b/>
      <sz val="10"/>
      <color rgb="FF000000"/>
      <name val="Arial"/>
      <family val="2"/>
    </font>
    <font>
      <sz val="11"/>
      <name val="Calibri"/>
      <family val="2"/>
    </font>
    <font>
      <b/>
      <sz val="10"/>
      <name val="Arial"/>
      <family val="2"/>
    </font>
    <font>
      <sz val="11"/>
      <name val="Calibri"/>
      <family val="2"/>
    </font>
    <font>
      <sz val="11"/>
      <name val="Calibri"/>
    </font>
    <font>
      <b/>
      <sz val="10"/>
      <name val="Arial"/>
    </font>
    <font>
      <sz val="10"/>
      <color rgb="FF000000"/>
      <name val="Arial"/>
    </font>
    <font>
      <sz val="12"/>
      <color rgb="FF32BD59"/>
      <name val="Calibri"/>
    </font>
    <font>
      <sz val="12"/>
      <color rgb="FFEF5350"/>
      <name val="Calibri"/>
    </font>
    <font>
      <sz val="12"/>
      <color rgb="FFFFCA28"/>
      <name val="Calibri"/>
    </font>
    <font>
      <sz val="12"/>
      <color rgb="FF6F4AB0"/>
      <name val="Calibri"/>
    </font>
    <font>
      <sz val="12"/>
      <color rgb="FF3B82F6"/>
      <name val="Calibri"/>
    </font>
    <font>
      <sz val="12"/>
      <color rgb="FF32BD59"/>
      <name val="Calibri"/>
      <family val="2"/>
    </font>
    <font>
      <sz val="12"/>
      <color rgb="FFEF5350"/>
      <name val="Calibri"/>
      <family val="2"/>
    </font>
    <font>
      <sz val="12"/>
      <color rgb="FFFFCA28"/>
      <name val="Calibri"/>
      <family val="2"/>
    </font>
    <font>
      <sz val="12"/>
      <color rgb="FF6F4AB0"/>
      <name val="Calibri"/>
      <family val="2"/>
    </font>
  </fonts>
  <fills count="4">
    <fill>
      <patternFill patternType="none"/>
    </fill>
    <fill>
      <patternFill patternType="gray125"/>
    </fill>
    <fill>
      <patternFill patternType="solid">
        <fgColor rgb="FFF0F5FA"/>
      </patternFill>
    </fill>
    <fill>
      <patternFill patternType="solid">
        <fgColor rgb="FFB3CBE3"/>
      </patternFill>
    </fill>
  </fills>
  <borders count="2">
    <border>
      <left/>
      <right/>
      <top/>
      <bottom/>
      <diagonal/>
    </border>
    <border>
      <left/>
      <right/>
      <top/>
      <bottom style="thin">
        <color rgb="FFBFBFBF"/>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xf numFmtId="0" fontId="7" fillId="0" borderId="0"/>
    <xf numFmtId="43" fontId="7" fillId="0" borderId="0" applyFont="0" applyFill="0" applyBorder="0" applyAlignment="0" applyProtection="0"/>
    <xf numFmtId="0" fontId="8" fillId="0" borderId="0"/>
    <xf numFmtId="0" fontId="5" fillId="0" borderId="0"/>
    <xf numFmtId="0" fontId="8" fillId="0" borderId="0"/>
  </cellStyleXfs>
  <cellXfs count="40">
    <xf numFmtId="0" fontId="0" fillId="0" borderId="0" xfId="0"/>
    <xf numFmtId="0" fontId="5" fillId="0" borderId="0" xfId="3"/>
    <xf numFmtId="49" fontId="6" fillId="3" borderId="1" xfId="3" applyNumberFormat="1" applyFont="1" applyFill="1" applyBorder="1" applyAlignment="1">
      <alignment horizontal="left" vertical="top"/>
    </xf>
    <xf numFmtId="0" fontId="2" fillId="0" borderId="0" xfId="0" applyFont="1" applyAlignment="1">
      <alignment vertical="top"/>
    </xf>
    <xf numFmtId="0" fontId="0" fillId="0" borderId="0" xfId="0" applyAlignment="1">
      <alignment vertical="top"/>
    </xf>
    <xf numFmtId="14" fontId="0" fillId="0" borderId="0" xfId="0" applyNumberFormat="1" applyAlignment="1">
      <alignment vertical="top"/>
    </xf>
    <xf numFmtId="166" fontId="0" fillId="0" borderId="0" xfId="0" applyNumberFormat="1" applyAlignment="1">
      <alignment vertical="top"/>
    </xf>
    <xf numFmtId="49" fontId="3" fillId="2" borderId="1" xfId="0" applyNumberFormat="1" applyFont="1" applyFill="1" applyBorder="1" applyAlignment="1">
      <alignment horizontal="left" vertical="top" wrapText="1"/>
    </xf>
    <xf numFmtId="164" fontId="3" fillId="2" borderId="1" xfId="1" applyNumberFormat="1" applyFont="1" applyFill="1" applyBorder="1" applyAlignment="1">
      <alignment horizontal="left" vertical="top"/>
    </xf>
    <xf numFmtId="1" fontId="3" fillId="2" borderId="1" xfId="0" applyNumberFormat="1" applyFont="1" applyFill="1" applyBorder="1" applyAlignment="1">
      <alignment horizontal="left" vertical="top"/>
    </xf>
    <xf numFmtId="9" fontId="3" fillId="2" borderId="1" xfId="2" applyFont="1" applyFill="1" applyBorder="1" applyAlignment="1">
      <alignment horizontal="right" vertical="top"/>
    </xf>
    <xf numFmtId="164" fontId="4" fillId="2" borderId="1" xfId="1" applyNumberFormat="1" applyFont="1" applyFill="1" applyBorder="1" applyAlignment="1">
      <alignment horizontal="left" vertical="top"/>
    </xf>
    <xf numFmtId="164" fontId="4" fillId="2" borderId="1" xfId="1" applyNumberFormat="1" applyFont="1" applyFill="1" applyBorder="1" applyAlignment="1">
      <alignment horizontal="right" vertical="top"/>
    </xf>
    <xf numFmtId="9" fontId="4" fillId="2" borderId="1" xfId="2" applyFont="1" applyFill="1" applyBorder="1" applyAlignment="1">
      <alignment horizontal="right" vertical="top"/>
    </xf>
    <xf numFmtId="49" fontId="9" fillId="3" borderId="1" xfId="6" applyNumberFormat="1" applyFont="1" applyFill="1" applyBorder="1" applyAlignment="1">
      <alignment horizontal="left" vertical="top"/>
    </xf>
    <xf numFmtId="0" fontId="8" fillId="0" borderId="0" xfId="6"/>
    <xf numFmtId="49" fontId="10" fillId="2" borderId="1" xfId="6" applyNumberFormat="1" applyFont="1" applyFill="1" applyBorder="1" applyAlignment="1">
      <alignment horizontal="left" vertical="top"/>
    </xf>
    <xf numFmtId="49" fontId="10" fillId="2" borderId="1" xfId="6" applyNumberFormat="1" applyFont="1" applyFill="1" applyBorder="1" applyAlignment="1">
      <alignment horizontal="left" vertical="top" wrapText="1"/>
    </xf>
    <xf numFmtId="1" fontId="10" fillId="2" borderId="1" xfId="6" applyNumberFormat="1" applyFont="1" applyFill="1" applyBorder="1" applyAlignment="1">
      <alignment horizontal="left" vertical="top"/>
    </xf>
    <xf numFmtId="49" fontId="10" fillId="2" borderId="1" xfId="0" applyNumberFormat="1" applyFont="1" applyFill="1" applyBorder="1" applyAlignment="1">
      <alignment horizontal="left" vertical="top"/>
    </xf>
    <xf numFmtId="49" fontId="9" fillId="3" borderId="1" xfId="8" applyNumberFormat="1" applyFont="1" applyFill="1" applyBorder="1" applyAlignment="1">
      <alignment horizontal="left" vertical="top"/>
    </xf>
    <xf numFmtId="0" fontId="8" fillId="0" borderId="0" xfId="8"/>
    <xf numFmtId="49" fontId="11" fillId="2" borderId="1" xfId="8" applyNumberFormat="1" applyFont="1" applyFill="1" applyBorder="1" applyAlignment="1">
      <alignment horizontal="center" vertical="top"/>
    </xf>
    <xf numFmtId="49" fontId="10" fillId="2" borderId="1" xfId="8" applyNumberFormat="1" applyFont="1" applyFill="1" applyBorder="1" applyAlignment="1">
      <alignment horizontal="left" vertical="top"/>
    </xf>
    <xf numFmtId="1" fontId="10" fillId="2" borderId="1" xfId="8" applyNumberFormat="1" applyFont="1" applyFill="1" applyBorder="1" applyAlignment="1">
      <alignment horizontal="left" vertical="top"/>
    </xf>
    <xf numFmtId="49" fontId="10" fillId="2" borderId="1" xfId="8" applyNumberFormat="1" applyFont="1" applyFill="1" applyBorder="1" applyAlignment="1">
      <alignment horizontal="left" vertical="top" wrapText="1"/>
    </xf>
    <xf numFmtId="49" fontId="12" fillId="2" borderId="1" xfId="8" applyNumberFormat="1" applyFont="1" applyFill="1" applyBorder="1" applyAlignment="1">
      <alignment horizontal="center" vertical="top"/>
    </xf>
    <xf numFmtId="49" fontId="13" fillId="2" borderId="1" xfId="8" applyNumberFormat="1" applyFont="1" applyFill="1" applyBorder="1" applyAlignment="1">
      <alignment horizontal="center" vertical="top"/>
    </xf>
    <xf numFmtId="49" fontId="14" fillId="2" borderId="1" xfId="8" applyNumberFormat="1" applyFont="1" applyFill="1" applyBorder="1" applyAlignment="1">
      <alignment horizontal="center" vertical="top"/>
    </xf>
    <xf numFmtId="49" fontId="15" fillId="2" borderId="1" xfId="8" applyNumberFormat="1" applyFont="1" applyFill="1" applyBorder="1" applyAlignment="1">
      <alignment horizontal="center" vertical="top"/>
    </xf>
    <xf numFmtId="49" fontId="16" fillId="2" borderId="1" xfId="0" applyNumberFormat="1" applyFont="1" applyFill="1" applyBorder="1" applyAlignment="1">
      <alignment horizontal="center" vertical="top"/>
    </xf>
    <xf numFmtId="49" fontId="3" fillId="2" borderId="1" xfId="0" applyNumberFormat="1" applyFont="1" applyFill="1" applyBorder="1" applyAlignment="1">
      <alignment horizontal="left" vertical="top"/>
    </xf>
    <xf numFmtId="49" fontId="17" fillId="2" borderId="1" xfId="0" applyNumberFormat="1" applyFont="1" applyFill="1" applyBorder="1" applyAlignment="1">
      <alignment horizontal="center" vertical="top"/>
    </xf>
    <xf numFmtId="49" fontId="18" fillId="2" borderId="1" xfId="0" applyNumberFormat="1" applyFont="1" applyFill="1" applyBorder="1" applyAlignment="1">
      <alignment horizontal="center" vertical="top"/>
    </xf>
    <xf numFmtId="49" fontId="19" fillId="2" borderId="1" xfId="0" applyNumberFormat="1" applyFont="1" applyFill="1" applyBorder="1" applyAlignment="1">
      <alignment horizontal="center" vertical="top"/>
    </xf>
    <xf numFmtId="49" fontId="10" fillId="2" borderId="1" xfId="6" applyNumberFormat="1" applyFont="1" applyFill="1" applyBorder="1" applyAlignment="1">
      <alignment horizontal="left" vertical="top"/>
    </xf>
    <xf numFmtId="49" fontId="9" fillId="3" borderId="1" xfId="6" applyNumberFormat="1" applyFont="1" applyFill="1" applyBorder="1" applyAlignment="1">
      <alignment horizontal="left" vertical="top"/>
    </xf>
    <xf numFmtId="0" fontId="0" fillId="0" borderId="0" xfId="0" applyAlignment="1"/>
    <xf numFmtId="164" fontId="0" fillId="0" borderId="0" xfId="1" applyNumberFormat="1" applyFont="1" applyAlignment="1"/>
    <xf numFmtId="14" fontId="0" fillId="0" borderId="0" xfId="0" applyNumberFormat="1" applyAlignment="1"/>
  </cellXfs>
  <cellStyles count="9">
    <cellStyle name="Normal" xfId="0" builtinId="0"/>
    <cellStyle name="Normal 2" xfId="3" xr:uid="{3DE7E2AF-2FE0-4609-AFC0-023FA4A0A777}"/>
    <cellStyle name="Normal 2 2" xfId="8" xr:uid="{67C9171F-0E6F-4D53-AB58-C57A4E0C8309}"/>
    <cellStyle name="Normal 3" xfId="4" xr:uid="{233CE563-39D5-4E8D-BEA0-B653D7585EF2}"/>
    <cellStyle name="Normal 3 2" xfId="7" xr:uid="{048D501B-2CF6-489A-8B17-E2047BFEE9BC}"/>
    <cellStyle name="Normal 4" xfId="6" xr:uid="{15EFC34D-1498-4B17-8F8B-1A53A47C0021}"/>
    <cellStyle name="Percentagem" xfId="2" builtinId="5"/>
    <cellStyle name="Vírgula" xfId="1" builtinId="3"/>
    <cellStyle name="Vírgula 2" xfId="5" xr:uid="{634F5FFA-ABF0-4245-9E90-BB05FAAF73B2}"/>
  </cellStyles>
  <dxfs count="53">
    <dxf>
      <alignment textRotation="0" wrapText="0" indent="0" justifyLastLine="0" shrinkToFit="0" readingOrder="0"/>
    </dxf>
    <dxf>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164" formatCode="_-* #,##0_-;\-* #,##0_-;_-* &quot;-&quot;??_-;_-@_-"/>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19" formatCode="dd/mm/yyyy"/>
      <alignment textRotation="0" wrapText="0" indent="0" justifyLastLine="0" shrinkToFit="0" readingOrder="0"/>
    </dxf>
    <dxf>
      <numFmt numFmtId="19" formatCode="dd/mm/yyyy"/>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alignment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2" connectionId="2" xr16:uid="{54EE6D1B-4DD1-4872-8240-7AF533444330}" autoFormatId="16" applyNumberFormats="0" applyBorderFormats="0" applyFontFormats="0" applyPatternFormats="0" applyAlignmentFormats="0" applyWidthHeightFormats="0">
  <queryTableRefresh nextId="62" unboundColumnsRight="18">
    <queryTableFields count="51">
      <queryTableField id="1" name="Covidence #" tableColumnId="1"/>
      <queryTableField id="5" name="Study ID_1" tableColumnId="5"/>
      <queryTableField id="2" name="Study ID" tableColumnId="2"/>
      <queryTableField id="6" name="Title_2" tableColumnId="6"/>
      <queryTableField id="7" name="Lead author contact details" tableColumnId="7"/>
      <queryTableField id="8" name="Lead author affiliation" tableColumnId="8"/>
      <queryTableField id="33" dataBound="0" tableColumnId="32"/>
      <queryTableField id="9" name="Publication date" tableColumnId="9"/>
      <queryTableField id="34" dataBound="0" tableColumnId="33"/>
      <queryTableField id="10" name="Country in which the study was conducted" tableColumnId="10"/>
      <queryTableField id="12" name="Aim of study" tableColumnId="12"/>
      <queryTableField id="13" name="Type of study" tableColumnId="13"/>
      <queryTableField id="39" dataBound="0" tableColumnId="39"/>
      <queryTableField id="38" dataBound="0" tableColumnId="38"/>
      <queryTableField id="37" dataBound="0" tableColumnId="37"/>
      <queryTableField id="15" name="Closed Number of questions" tableColumnId="15"/>
      <queryTableField id="16" name="Open Number of questions" tableColumnId="16"/>
      <queryTableField id="17" name="Total Number of questions" tableColumnId="17"/>
      <queryTableField id="18" name="Start date" tableColumnId="18"/>
      <queryTableField id="19" name="End date" tableColumnId="19"/>
      <queryTableField id="20" name="Method of dissemination" tableColumnId="20"/>
      <queryTableField id="21" name="Method of participation" tableColumnId="21"/>
      <queryTableField id="36" dataBound="0" tableColumnId="36"/>
      <queryTableField id="22" name="Study funding sources" tableColumnId="22"/>
      <queryTableField id="24" name="Population description" tableColumnId="24"/>
      <queryTableField id="61" dataBound="0" tableColumnId="3"/>
      <queryTableField id="59" dataBound="0" tableColumnId="51"/>
      <queryTableField id="35" dataBound="0" tableColumnId="34"/>
      <queryTableField id="27" name="Total number of participants" tableColumnId="27"/>
      <queryTableField id="28" name="Main results" tableColumnId="28"/>
      <queryTableField id="29" name="Main conclusions" tableColumnId="29"/>
      <queryTableField id="30" name="Key Terminology in Conclusions" tableColumnId="30"/>
      <queryTableField id="31" name="Categories focused" tableColumnId="31"/>
      <queryTableField id="41" dataBound="0" tableColumnId="4"/>
      <queryTableField id="42" dataBound="0" tableColumnId="11"/>
      <queryTableField id="43" dataBound="0" tableColumnId="14"/>
      <queryTableField id="44" dataBound="0" tableColumnId="23"/>
      <queryTableField id="45" dataBound="0" tableColumnId="25"/>
      <queryTableField id="46" dataBound="0" tableColumnId="26"/>
      <queryTableField id="47" dataBound="0" tableColumnId="35"/>
      <queryTableField id="48" dataBound="0" tableColumnId="40"/>
      <queryTableField id="49" dataBound="0" tableColumnId="41"/>
      <queryTableField id="50" dataBound="0" tableColumnId="42"/>
      <queryTableField id="51" dataBound="0" tableColumnId="43"/>
      <queryTableField id="52" dataBound="0" tableColumnId="44"/>
      <queryTableField id="53" dataBound="0" tableColumnId="45"/>
      <queryTableField id="54" dataBound="0" tableColumnId="46"/>
      <queryTableField id="55" dataBound="0" tableColumnId="47"/>
      <queryTableField id="56" dataBound="0" tableColumnId="48"/>
      <queryTableField id="57" dataBound="0" tableColumnId="49"/>
      <queryTableField id="58" dataBound="0" tableColumnId="50"/>
    </queryTableFields>
    <queryTableDeletedFields count="7">
      <deletedField name="Reviewer Name"/>
      <deletedField name="Title"/>
      <deletedField name="Notes"/>
      <deletedField name="Possible conflicts of interest for study authors"/>
      <deletedField name="Inclusion criteria"/>
      <deletedField name="Exclusion criteria"/>
      <deletedField name="Type and number of question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E257FA-B5B3-435C-B5A3-7C89C1EC05BA}" name="SLR_Covidence_Data_Extraction__66_files" displayName="SLR_Covidence_Data_Extraction__66_files" ref="A1:AY66" tableType="queryTable" totalsRowShown="0" headerRowDxfId="1" dataDxfId="0">
  <autoFilter ref="A1:AY66" xr:uid="{DBE257FA-B5B3-435C-B5A3-7C89C1EC05BA}"/>
  <tableColumns count="51">
    <tableColumn id="1" xr3:uid="{83ACB25D-890B-4264-963C-B33A4435C0EB}" uniqueName="1" name="Covidence #" queryTableFieldId="1" dataDxfId="52"/>
    <tableColumn id="5" xr3:uid="{F7BDBE95-576A-450C-81DB-646EEB9003D7}" uniqueName="5" name="Study ID_1" queryTableFieldId="5" dataDxfId="51"/>
    <tableColumn id="2" xr3:uid="{6B54E8EB-5A12-4A6F-9B95-0CF4B68AD4A1}" uniqueName="2" name="Study ID" queryTableFieldId="2" dataDxfId="50"/>
    <tableColumn id="6" xr3:uid="{EE71AE8A-DE18-499B-83CA-E9D93B33FAD6}" uniqueName="6" name="Title" queryTableFieldId="6" dataDxfId="49"/>
    <tableColumn id="7" xr3:uid="{C5501339-D897-4488-A3E7-DDB3467B1362}" uniqueName="7" name="Lead author contact details" queryTableFieldId="7" dataDxfId="48"/>
    <tableColumn id="8" xr3:uid="{593A343C-4887-41AF-B398-8378C6A857B9}" uniqueName="8" name="Lead author affiliation" queryTableFieldId="8" dataDxfId="47"/>
    <tableColumn id="32" xr3:uid="{8186DD6C-8307-490B-8C1F-2A18C8F5157A}" uniqueName="32" name="Lead author affiliation country" queryTableFieldId="33" dataDxfId="46">
      <calculatedColumnFormula>+VLOOKUP(SLR_Covidence_Data_Extraction__66_files[[#This Row],[Study ID_1]],#REF!,5,FALSE)</calculatedColumnFormula>
    </tableColumn>
    <tableColumn id="9" xr3:uid="{FB6CF4C7-95CB-47FB-BFB5-5AC51FA21C1D}" uniqueName="9" name="Publication date" queryTableFieldId="9" dataDxfId="45"/>
    <tableColumn id="33" xr3:uid="{73F9FB36-0C51-426F-8297-0C82CF9B7F98}" uniqueName="33" name="Publication Year" queryTableFieldId="34" dataDxfId="44">
      <calculatedColumnFormula>LEFT(SLR_Covidence_Data_Extraction__66_files[[#This Row],[Publication date]],4)</calculatedColumnFormula>
    </tableColumn>
    <tableColumn id="10" xr3:uid="{1ACDD78D-9EA8-41DD-BBE3-44684EC127E9}" uniqueName="10" name="Country in which the study was conducted" queryTableFieldId="10" dataDxfId="43"/>
    <tableColumn id="12" xr3:uid="{49AA15C4-B57C-4C5F-BFF5-6252ADAD3AC5}" uniqueName="12" name="Aim of study" queryTableFieldId="12" dataDxfId="42"/>
    <tableColumn id="13" xr3:uid="{887289EB-22F4-4C7D-9629-F5272A18164B}" uniqueName="13" name="Type of study Questionnaire" queryTableFieldId="13" dataDxfId="41"/>
    <tableColumn id="39" xr3:uid="{9EB99029-5485-4993-BCC7-C9BC186331F8}" uniqueName="39" name="Type of study Focus Group" queryTableFieldId="39" dataDxfId="40"/>
    <tableColumn id="38" xr3:uid="{D3ACE9F0-BA09-4E63-890E-37BFA35F687B}" uniqueName="38" name="Type of study Interview" queryTableFieldId="38" dataDxfId="39"/>
    <tableColumn id="37" xr3:uid="{E5448A9A-5A0C-4D96-A3B6-F5BE9CED5C79}" uniqueName="37" name="Type of study Other" queryTableFieldId="37" dataDxfId="38"/>
    <tableColumn id="15" xr3:uid="{A0B2FA49-6FF1-43DB-8CB9-3929905C8029}" uniqueName="15" name="Closed Number of questions" queryTableFieldId="15" dataDxfId="37"/>
    <tableColumn id="16" xr3:uid="{9475BE28-A53E-47AE-B600-2889E5DC51D6}" uniqueName="16" name="Open Number of questions" queryTableFieldId="16" dataDxfId="36"/>
    <tableColumn id="17" xr3:uid="{523EA2A8-D38E-4EDA-87A4-580F584647CE}" uniqueName="17" name="Total Number of questions" queryTableFieldId="17" dataDxfId="35"/>
    <tableColumn id="18" xr3:uid="{E6DEDA90-C614-4799-9B1F-93A638515338}" uniqueName="18" name="Start date" queryTableFieldId="18" dataDxfId="34"/>
    <tableColumn id="19" xr3:uid="{E4996538-263E-421E-BCDC-EA86648731A2}" uniqueName="19" name="End date" queryTableFieldId="19" dataDxfId="33"/>
    <tableColumn id="20" xr3:uid="{2A3DB70C-A843-484C-B7AA-69888CCB8786}" uniqueName="20" name="Method of dissemination" queryTableFieldId="20" dataDxfId="32"/>
    <tableColumn id="21" xr3:uid="{73FCC12D-6E62-4DEC-8662-A335C1EA2F46}" uniqueName="21" name="Method of participation Online" queryTableFieldId="21" dataDxfId="31"/>
    <tableColumn id="36" xr3:uid="{705E9177-090D-47CF-BA75-741BBDB434A4}" uniqueName="36" name="Method of participation Offline" queryTableFieldId="36" dataDxfId="30"/>
    <tableColumn id="22" xr3:uid="{3763D192-02C6-43CE-BEB8-CBE7C2F23A99}" uniqueName="22" name="Study funding sources" queryTableFieldId="22" dataDxfId="29"/>
    <tableColumn id="24" xr3:uid="{5C981D9E-764D-463E-A948-75207C933485}" uniqueName="24" name="Population description" queryTableFieldId="24" dataDxfId="28"/>
    <tableColumn id="3" xr3:uid="{B3E67240-F832-4331-B8BD-FA8BF711C3AD}" uniqueName="3" name="Different population" queryTableFieldId="61" dataDxfId="27"/>
    <tableColumn id="51" xr3:uid="{7661831A-49FF-43BF-931B-76A3BBFB4B67}" uniqueName="51" name="Translation Area" queryTableFieldId="59" dataDxfId="26"/>
    <tableColumn id="34" xr3:uid="{9CFEE22D-219D-43E5-AD64-44CDB72C04B7}" uniqueName="34" name="Total number of participants" queryTableFieldId="35" dataDxfId="25" dataCellStyle="Vírgula"/>
    <tableColumn id="27" xr3:uid="{80476D04-8AA0-4640-8357-D5A60513685C}" uniqueName="27" name="Detailed number of participants" queryTableFieldId="27" dataDxfId="24"/>
    <tableColumn id="28" xr3:uid="{3DAB9B60-BAA4-4845-A6E1-9E7FFA9E3C95}" uniqueName="28" name="Main results" queryTableFieldId="28" dataDxfId="23"/>
    <tableColumn id="29" xr3:uid="{00FA86E2-AC8E-4C76-A7AC-E1EBBB656B8E}" uniqueName="29" name="Main conclusions" queryTableFieldId="29" dataDxfId="22"/>
    <tableColumn id="30" xr3:uid="{4625A8A2-21CB-4A4F-B22D-1327D2BDF2C1}" uniqueName="30" name="Key Terminology in Conclusions" queryTableFieldId="30" dataDxfId="21"/>
    <tableColumn id="31" xr3:uid="{45D11BFE-CB50-447A-9836-C838A27C1C03}" uniqueName="31" name="Categories focused" queryTableFieldId="31" dataDxfId="20"/>
    <tableColumn id="4" xr3:uid="{BB32145B-3107-4CAE-A556-85FC3036246D}" uniqueName="4" name="Adoption (AD) &gt; AD_High" queryTableFieldId="41" dataDxfId="19">
      <calculatedColumnFormula>+COUNTIFS('Coded Segments'!$C$2:$C$913,SLR_Covidence_Data_Extraction__66_files[[#This Row],[Study ID_1]],'Coded Segments'!$D$2:$D$913,SLR_Covidence_Data_Extraction__66_files[[#Headers],[Adoption (AD) &gt; AD_High]])</calculatedColumnFormula>
    </tableColumn>
    <tableColumn id="11" xr3:uid="{7B7F62AC-27A0-4F8F-86F8-34F677BB4EED}" uniqueName="11" name="Adoption (AD) &gt; AD_Moderate" queryTableFieldId="42" dataDxfId="18">
      <calculatedColumnFormula>+COUNTIFS('Coded Segments'!$C$2:$C$913,SLR_Covidence_Data_Extraction__66_files[[#This Row],[Study ID_1]],'Coded Segments'!$D$2:$D$913,SLR_Covidence_Data_Extraction__66_files[[#Headers],[Adoption (AD) &gt; AD_Moderate]])</calculatedColumnFormula>
    </tableColumn>
    <tableColumn id="14" xr3:uid="{6CA08537-7AE2-472F-9207-A1489DAD5471}" uniqueName="14" name="Adoption (AD) &gt; AD_Low" queryTableFieldId="43" dataDxfId="17">
      <calculatedColumnFormula>+COUNTIFS('Coded Segments'!$C$2:$C$913,SLR_Covidence_Data_Extraction__66_files[[#This Row],[Study ID_1]],'Coded Segments'!$D$2:$D$913,SLR_Covidence_Data_Extraction__66_files[[#Headers],[Adoption (AD) &gt; AD_Low]])</calculatedColumnFormula>
    </tableColumn>
    <tableColumn id="23" xr3:uid="{2C560D98-2CBD-4D6D-8E52-75BF988514DE}" uniqueName="23" name="Adoption (AD) &gt; AD_None" queryTableFieldId="44" dataDxfId="16">
      <calculatedColumnFormula>+COUNTIFS('Coded Segments'!$C$2:$C$913,SLR_Covidence_Data_Extraction__66_files[[#This Row],[Study ID_1]],'Coded Segments'!$D$2:$D$913,SLR_Covidence_Data_Extraction__66_files[[#Headers],[Adoption (AD) &gt; AD_None]])</calculatedColumnFormula>
    </tableColumn>
    <tableColumn id="25" xr3:uid="{C5AC0F70-A9A4-4CB7-A954-47D0A419F6B4}" uniqueName="25" name="Attitude (ATT) &gt; ATT_Negative" queryTableFieldId="45" dataDxfId="15">
      <calculatedColumnFormula>+COUNTIFS('Coded Segments'!$C$2:$C$913,SLR_Covidence_Data_Extraction__66_files[[#This Row],[Study ID_1]],'Coded Segments'!$D$2:$D$913,SLR_Covidence_Data_Extraction__66_files[[#Headers],[Attitude (ATT) &gt; ATT_Negative]])</calculatedColumnFormula>
    </tableColumn>
    <tableColumn id="26" xr3:uid="{0624EC17-BD0C-425C-8BE8-7C05BE118F4C}" uniqueName="26" name="Attitude (ATT) &gt; ATT_Positive" queryTableFieldId="46" dataDxfId="14">
      <calculatedColumnFormula>+COUNTIFS('Coded Segments'!$C$2:$C$913,SLR_Covidence_Data_Extraction__66_files[[#This Row],[Study ID_1]],'Coded Segments'!$D$2:$D$913,SLR_Covidence_Data_Extraction__66_files[[#Headers],[Attitude (ATT) &gt; ATT_Positive]])</calculatedColumnFormula>
    </tableColumn>
    <tableColumn id="35" xr3:uid="{CDC1B9BD-91EC-4B3C-BBB9-2547D22EC0A2}" uniqueName="35" name="Ethical Concerns (EC) &gt; EC_Bias" queryTableFieldId="47" dataDxfId="13">
      <calculatedColumnFormula>+COUNTIFS('Coded Segments'!$C$2:$C$913,SLR_Covidence_Data_Extraction__66_files[[#This Row],[Study ID_1]],'Coded Segments'!$D$2:$D$913,SLR_Covidence_Data_Extraction__66_files[[#Headers],[Ethical Concerns (EC) &gt; EC_Bias]])</calculatedColumnFormula>
    </tableColumn>
    <tableColumn id="40" xr3:uid="{C09CBD8B-92FE-4439-BB44-AEB7B3356C60}" uniqueName="40" name="Ethical Concerns (EC) &gt; EC_Copyright" queryTableFieldId="48" dataDxfId="12">
      <calculatedColumnFormula>+COUNTIFS('Coded Segments'!$C$2:$C$913,SLR_Covidence_Data_Extraction__66_files[[#This Row],[Study ID_1]],'Coded Segments'!$D$2:$D$913,SLR_Covidence_Data_Extraction__66_files[[#Headers],[Ethical Concerns (EC) &gt; EC_Copyright]])</calculatedColumnFormula>
    </tableColumn>
    <tableColumn id="41" xr3:uid="{E7204320-03AC-4D01-B03D-0B647B21D522}" uniqueName="41" name="Ethical Concerns (EC) &gt; EC_Data safety &amp; confidentiality" queryTableFieldId="49" dataDxfId="11">
      <calculatedColumnFormula>+COUNTIFS('Coded Segments'!$C$2:$C$913,SLR_Covidence_Data_Extraction__66_files[[#This Row],[Study ID_1]],'Coded Segments'!$D$2:$D$913,SLR_Covidence_Data_Extraction__66_files[[#Headers],[Ethical Concerns (EC) &gt; EC_Data safety &amp; confidentiality]])</calculatedColumnFormula>
    </tableColumn>
    <tableColumn id="42" xr3:uid="{9B9F250F-BED8-465C-BA43-DE58BBA55A2F}" uniqueName="42" name="Ethical Concerns (EC) &gt; EC_Environmental sustainability" queryTableFieldId="50" dataDxfId="10">
      <calculatedColumnFormula>+COUNTIFS('Coded Segments'!$C$2:$C$913,SLR_Covidence_Data_Extraction__66_files[[#This Row],[Study ID_1]],'Coded Segments'!$D$2:$D$913,SLR_Covidence_Data_Extraction__66_files[[#Headers],[Ethical Concerns (EC) &gt; EC_Environmental sustainability]])</calculatedColumnFormula>
    </tableColumn>
    <tableColumn id="43" xr3:uid="{5CAAE062-09CF-4A88-B3CC-26D8770287C8}" uniqueName="43" name="Ethical Concerns (EC) &gt; EC_Payment" queryTableFieldId="51" dataDxfId="9">
      <calculatedColumnFormula>+COUNTIFS('Coded Segments'!$C$2:$C$913,SLR_Covidence_Data_Extraction__66_files[[#This Row],[Study ID_1]],'Coded Segments'!$D$2:$D$913,SLR_Covidence_Data_Extraction__66_files[[#Headers],[Ethical Concerns (EC) &gt; EC_Payment]])</calculatedColumnFormula>
    </tableColumn>
    <tableColumn id="44" xr3:uid="{30371B6D-8FFD-47C4-86AF-5C582D001048}" uniqueName="44" name="Ethical Concerns (EC) &gt; EC_Quality" queryTableFieldId="52" dataDxfId="8">
      <calculatedColumnFormula>+COUNTIFS('Coded Segments'!$C$2:$C$912,SLR_Covidence_Data_Extraction__66_files[[#This Row],[Study ID_1]],'Coded Segments'!$D$2:$D$912,SLR_Covidence_Data_Extraction__66_files[[#Headers],[Ethical Concerns (EC) &gt; EC_Quality]])</calculatedColumnFormula>
    </tableColumn>
    <tableColumn id="45" xr3:uid="{E8F40A94-7ED3-4CCA-B0E3-CA10537C51FA}" uniqueName="45" name="Ethical Concerns (EC) &gt; EC_Translators’ role &amp; status" queryTableFieldId="53" dataDxfId="7">
      <calculatedColumnFormula>+COUNTIFS('Coded Segments'!$C$2:$C$913,SLR_Covidence_Data_Extraction__66_files[[#This Row],[Study ID_1]],'Coded Segments'!$D$2:$D$913,SLR_Covidence_Data_Extraction__66_files[[#Headers],[Ethical Concerns (EC) &gt; EC_Translators’ role &amp; status]])</calculatedColumnFormula>
    </tableColumn>
    <tableColumn id="46" xr3:uid="{EF5D9230-2AEB-41B0-A1EA-F23A44EA7CDB}" uniqueName="46" name="Ethical Concerns (EC) &gt; EC_Other" queryTableFieldId="54" dataDxfId="6">
      <calculatedColumnFormula>+COUNTIFS('Coded Segments'!$C$2:$C$913,SLR_Covidence_Data_Extraction__66_files[[#This Row],[Study ID_1]],'Coded Segments'!$D$2:$D$913,SLR_Covidence_Data_Extraction__66_files[[#Headers],[Ethical Concerns (EC) &gt; EC_Other]])</calculatedColumnFormula>
    </tableColumn>
    <tableColumn id="47" xr3:uid="{B864956E-2091-4748-9707-831273F24D04}" uniqueName="47" name="Literacy (LIT) &gt; LIT_Generic" queryTableFieldId="55" dataDxfId="5">
      <calculatedColumnFormula>+COUNTIFS('Coded Segments'!$C$2:$C$913,SLR_Covidence_Data_Extraction__66_files[[#This Row],[Study ID_1]],'Coded Segments'!$D$2:$D$913,SLR_Covidence_Data_Extraction__66_files[[#Headers],[Literacy (LIT) &gt; LIT_Generic]])</calculatedColumnFormula>
    </tableColumn>
    <tableColumn id="48" xr3:uid="{14AE112A-0D2D-48A7-9871-0AD754CFD362}" uniqueName="48" name="Literacy (LIT) &gt; LIT_None " queryTableFieldId="56" dataDxfId="4">
      <calculatedColumnFormula>+COUNTIFS('Coded Segments'!$C$2:$C$913,SLR_Covidence_Data_Extraction__66_files[[#This Row],[Study ID_1]],'Coded Segments'!$D$2:$D$913,SLR_Covidence_Data_Extraction__66_files[[#Headers],[Literacy (LIT) &gt; LIT_None ]])</calculatedColumnFormula>
    </tableColumn>
    <tableColumn id="49" xr3:uid="{8DD67408-A107-4A05-9B26-54C7746FCF71}" uniqueName="49" name="Literacy (LIT) &gt; LIT_Low " queryTableFieldId="57" dataDxfId="3">
      <calculatedColumnFormula>+COUNTIFS('Coded Segments'!$C$2:$C$913,SLR_Covidence_Data_Extraction__66_files[[#This Row],[Study ID_1]],'Coded Segments'!$D$2:$D$913,SLR_Covidence_Data_Extraction__66_files[[#Headers],[Literacy (LIT) &gt; LIT_Low ]])</calculatedColumnFormula>
    </tableColumn>
    <tableColumn id="50" xr3:uid="{CFB68CD6-B5C6-46AD-ADDD-52BFEA26F0C1}" uniqueName="50" name="Literacy (LIT) &gt; LIT_High" queryTableFieldId="58" dataDxfId="2">
      <calculatedColumnFormula>+COUNTIFS('Coded Segments'!$C$2:$C$913,SLR_Covidence_Data_Extraction__66_files[[#This Row],[Study ID_1]],'Coded Segments'!$D$2:$D$913,SLR_Covidence_Data_Extraction__66_files[[#Headers],[Literacy (LIT) &gt; LIT_High]])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E5E42-FD1D-465E-9092-1C9BBC5AACC4}">
  <dimension ref="A1:AY66"/>
  <sheetViews>
    <sheetView tabSelected="1" workbookViewId="0">
      <selection activeCell="E25" sqref="E25"/>
    </sheetView>
  </sheetViews>
  <sheetFormatPr defaultRowHeight="15" x14ac:dyDescent="0.25"/>
  <cols>
    <col min="1" max="1" width="14.42578125" style="37" bestFit="1" customWidth="1"/>
    <col min="2" max="2" width="9.140625" style="37"/>
    <col min="3" max="4" width="22.140625" style="37" bestFit="1" customWidth="1"/>
    <col min="5" max="5" width="86.5703125" style="37" customWidth="1"/>
    <col min="6" max="6" width="114.140625" style="37" bestFit="1" customWidth="1"/>
    <col min="7" max="7" width="117.7109375" style="37" bestFit="1" customWidth="1"/>
    <col min="8" max="8" width="30.85546875" style="37" bestFit="1" customWidth="1"/>
    <col min="9" max="9" width="18" style="37" bestFit="1" customWidth="1"/>
    <col min="10" max="10" width="18" style="37" customWidth="1"/>
    <col min="11" max="11" width="42.140625" style="37" bestFit="1" customWidth="1"/>
    <col min="12" max="12" width="71.7109375" style="37" customWidth="1"/>
    <col min="13" max="16" width="39.28515625" style="37" customWidth="1"/>
    <col min="17" max="17" width="29.7109375" style="37" bestFit="1" customWidth="1"/>
    <col min="18" max="18" width="28.140625" style="37" bestFit="1" customWidth="1"/>
    <col min="19" max="19" width="27.5703125" style="37" bestFit="1" customWidth="1"/>
    <col min="20" max="20" width="12" style="37" bestFit="1" customWidth="1"/>
    <col min="21" max="21" width="11.140625" style="37" bestFit="1" customWidth="1"/>
    <col min="22" max="22" width="61" style="37" customWidth="1"/>
    <col min="23" max="23" width="24.7109375" style="37" bestFit="1" customWidth="1"/>
    <col min="24" max="24" width="24.7109375" style="37" customWidth="1"/>
    <col min="25" max="26" width="46" style="37" customWidth="1"/>
    <col min="27" max="27" width="37" style="37" customWidth="1"/>
    <col min="28" max="28" width="21.7109375" style="37" customWidth="1"/>
    <col min="29" max="29" width="38.7109375" style="38" customWidth="1"/>
    <col min="30" max="30" width="48.85546875" style="37" bestFit="1" customWidth="1"/>
    <col min="31" max="31" width="45.28515625" style="37" bestFit="1" customWidth="1"/>
    <col min="32" max="32" width="44.7109375" style="37" customWidth="1"/>
    <col min="33" max="33" width="48.85546875" style="37" bestFit="1" customWidth="1"/>
    <col min="34" max="34" width="26.140625" style="37" bestFit="1" customWidth="1"/>
    <col min="35" max="35" width="26.85546875" style="37" bestFit="1" customWidth="1"/>
    <col min="36" max="36" width="26.5703125" style="37" bestFit="1" customWidth="1"/>
    <col min="37" max="37" width="31.42578125" style="37" bestFit="1" customWidth="1"/>
    <col min="38" max="38" width="25.140625" style="37" bestFit="1" customWidth="1"/>
    <col min="39" max="39" width="28.5703125" style="37" bestFit="1" customWidth="1"/>
    <col min="40" max="40" width="32.85546875" style="37" bestFit="1" customWidth="1"/>
    <col min="41" max="41" width="37.85546875" style="37" bestFit="1" customWidth="1"/>
    <col min="42" max="42" width="55" style="37" bestFit="1" customWidth="1"/>
    <col min="43" max="43" width="30" style="37" bestFit="1" customWidth="1"/>
    <col min="44" max="44" width="49.42578125" style="37" bestFit="1" customWidth="1"/>
    <col min="45" max="45" width="47.42578125" style="37" bestFit="1" customWidth="1"/>
    <col min="46" max="46" width="29.28515625" style="37" bestFit="1" customWidth="1"/>
    <col min="47" max="47" width="27.5703125" style="37" bestFit="1" customWidth="1"/>
    <col min="48" max="48" width="45.7109375" style="37" bestFit="1" customWidth="1"/>
    <col min="49" max="50" width="32.28515625" style="37" bestFit="1" customWidth="1"/>
    <col min="51" max="51" width="32" style="37" bestFit="1" customWidth="1"/>
    <col min="52" max="52" width="22.85546875" style="37" bestFit="1" customWidth="1"/>
    <col min="53" max="16384" width="9.140625" style="37"/>
  </cols>
  <sheetData>
    <row r="1" spans="1:51" x14ac:dyDescent="0.25">
      <c r="A1" s="37" t="s">
        <v>0</v>
      </c>
      <c r="B1" s="37" t="s">
        <v>3</v>
      </c>
      <c r="C1" s="37" t="s">
        <v>1</v>
      </c>
      <c r="D1" s="37" t="s">
        <v>2</v>
      </c>
      <c r="E1" s="37" t="s">
        <v>4</v>
      </c>
      <c r="F1" s="37" t="s">
        <v>5</v>
      </c>
      <c r="G1" s="37" t="s">
        <v>782</v>
      </c>
      <c r="H1" s="37" t="s">
        <v>792</v>
      </c>
      <c r="I1" s="37" t="s">
        <v>791</v>
      </c>
      <c r="J1" s="37" t="s">
        <v>793</v>
      </c>
      <c r="K1" s="37" t="s">
        <v>6</v>
      </c>
      <c r="L1" s="37" t="s">
        <v>1479</v>
      </c>
      <c r="M1" s="37" t="s">
        <v>786</v>
      </c>
      <c r="N1" s="37" t="s">
        <v>785</v>
      </c>
      <c r="O1" s="37" t="s">
        <v>787</v>
      </c>
      <c r="P1" s="37" t="s">
        <v>7</v>
      </c>
      <c r="Q1" s="37" t="s">
        <v>8</v>
      </c>
      <c r="R1" s="37" t="s">
        <v>9</v>
      </c>
      <c r="S1" s="37" t="s">
        <v>10</v>
      </c>
      <c r="T1" s="37" t="s">
        <v>11</v>
      </c>
      <c r="U1" s="37" t="s">
        <v>12</v>
      </c>
      <c r="V1" s="37" t="s">
        <v>789</v>
      </c>
      <c r="W1" s="37" t="s">
        <v>790</v>
      </c>
      <c r="X1" s="37" t="s">
        <v>13</v>
      </c>
      <c r="Y1" s="37" t="s">
        <v>14</v>
      </c>
      <c r="Z1" s="37" t="s">
        <v>1558</v>
      </c>
      <c r="AA1" s="37" t="s">
        <v>1476</v>
      </c>
      <c r="AB1" s="38" t="s">
        <v>15</v>
      </c>
      <c r="AC1" s="37" t="s">
        <v>910</v>
      </c>
      <c r="AD1" s="37" t="s">
        <v>16</v>
      </c>
      <c r="AE1" s="37" t="s">
        <v>17</v>
      </c>
      <c r="AF1" s="37" t="s">
        <v>18</v>
      </c>
      <c r="AG1" s="37" t="s">
        <v>19</v>
      </c>
      <c r="AH1" s="19" t="s">
        <v>1539</v>
      </c>
      <c r="AI1" s="19" t="s">
        <v>1541</v>
      </c>
      <c r="AJ1" s="19" t="s">
        <v>1540</v>
      </c>
      <c r="AK1" s="19" t="s">
        <v>1542</v>
      </c>
      <c r="AL1" s="19" t="s">
        <v>1543</v>
      </c>
      <c r="AM1" s="19" t="s">
        <v>1544</v>
      </c>
      <c r="AN1" s="19" t="s">
        <v>1545</v>
      </c>
      <c r="AO1" s="19" t="s">
        <v>1546</v>
      </c>
      <c r="AP1" s="19" t="s">
        <v>1547</v>
      </c>
      <c r="AQ1" s="19" t="s">
        <v>1548</v>
      </c>
      <c r="AR1" s="19" t="s">
        <v>1550</v>
      </c>
      <c r="AS1" s="19" t="s">
        <v>1551</v>
      </c>
      <c r="AT1" s="19" t="s">
        <v>1552</v>
      </c>
      <c r="AU1" s="19" t="s">
        <v>1549</v>
      </c>
      <c r="AV1" s="19" t="s">
        <v>1553</v>
      </c>
      <c r="AW1" s="19" t="s">
        <v>1556</v>
      </c>
      <c r="AX1" s="19" t="s">
        <v>1555</v>
      </c>
      <c r="AY1" s="19" t="s">
        <v>1554</v>
      </c>
    </row>
    <row r="2" spans="1:51" x14ac:dyDescent="0.25">
      <c r="A2" s="37">
        <v>76</v>
      </c>
      <c r="B2" s="37" t="s">
        <v>128</v>
      </c>
      <c r="C2" s="37" t="s">
        <v>126</v>
      </c>
      <c r="D2" s="37" t="s">
        <v>127</v>
      </c>
      <c r="E2" s="37" t="s">
        <v>129</v>
      </c>
      <c r="F2" s="37" t="s">
        <v>130</v>
      </c>
      <c r="G2" s="37" t="s">
        <v>131</v>
      </c>
      <c r="H2" s="39" t="s">
        <v>817</v>
      </c>
      <c r="I2" s="39" t="str">
        <f>LEFT(SLR_Covidence_Data_Extraction__66_files[[#This Row],[Publication date]],4)</f>
        <v>2018</v>
      </c>
      <c r="J2" s="37" t="s">
        <v>131</v>
      </c>
      <c r="K2" s="37" t="s">
        <v>132</v>
      </c>
      <c r="L2" s="37" t="s">
        <v>1478</v>
      </c>
      <c r="P2" s="37" t="s">
        <v>26</v>
      </c>
      <c r="Q2" s="37" t="s">
        <v>26</v>
      </c>
      <c r="S2" s="37" t="s">
        <v>133</v>
      </c>
      <c r="T2" s="37" t="s">
        <v>134</v>
      </c>
      <c r="U2" s="37" t="s">
        <v>135</v>
      </c>
      <c r="V2" s="37" t="s">
        <v>32</v>
      </c>
      <c r="X2" s="37" t="s">
        <v>26</v>
      </c>
      <c r="Y2" s="37" t="s">
        <v>136</v>
      </c>
      <c r="Z2" s="37" t="s">
        <v>136</v>
      </c>
      <c r="AA2" s="37" t="s">
        <v>1463</v>
      </c>
      <c r="AB2" s="38">
        <v>80</v>
      </c>
      <c r="AC2" s="37" t="s">
        <v>818</v>
      </c>
      <c r="AD2" s="37" t="s">
        <v>137</v>
      </c>
      <c r="AE2" s="37" t="s">
        <v>138</v>
      </c>
      <c r="AF2" s="37" t="s">
        <v>139</v>
      </c>
      <c r="AG2" s="37" t="s">
        <v>140</v>
      </c>
      <c r="AH2" s="37">
        <f>+COUNTIFS('Coded Segments'!$C$2:$C$913,SLR_Covidence_Data_Extraction__66_files[[#This Row],[Study ID_1]],'Coded Segments'!$D$2:$D$913,SLR_Covidence_Data_Extraction__66_files[[#Headers],[Adoption (AD) &gt; AD_High]])</f>
        <v>0</v>
      </c>
      <c r="AI2" s="37">
        <f>+COUNTIFS('Coded Segments'!$C$2:$C$913,SLR_Covidence_Data_Extraction__66_files[[#This Row],[Study ID_1]],'Coded Segments'!$D$2:$D$913,SLR_Covidence_Data_Extraction__66_files[[#Headers],[Adoption (AD) &gt; AD_Moderate]])</f>
        <v>0</v>
      </c>
      <c r="AJ2" s="37">
        <f>+COUNTIFS('Coded Segments'!$C$2:$C$913,SLR_Covidence_Data_Extraction__66_files[[#This Row],[Study ID_1]],'Coded Segments'!$D$2:$D$913,SLR_Covidence_Data_Extraction__66_files[[#Headers],[Adoption (AD) &gt; AD_Low]])</f>
        <v>0</v>
      </c>
      <c r="AK2" s="37">
        <f>+COUNTIFS('Coded Segments'!$C$2:$C$913,SLR_Covidence_Data_Extraction__66_files[[#This Row],[Study ID_1]],'Coded Segments'!$D$2:$D$913,SLR_Covidence_Data_Extraction__66_files[[#Headers],[Adoption (AD) &gt; AD_None]])</f>
        <v>0</v>
      </c>
      <c r="AL2" s="37">
        <f>+COUNTIFS('Coded Segments'!$C$2:$C$913,SLR_Covidence_Data_Extraction__66_files[[#This Row],[Study ID_1]],'Coded Segments'!$D$2:$D$913,SLR_Covidence_Data_Extraction__66_files[[#Headers],[Attitude (ATT) &gt; ATT_Negative]])</f>
        <v>2</v>
      </c>
      <c r="AM2" s="37">
        <f>+COUNTIFS('Coded Segments'!$C$2:$C$913,SLR_Covidence_Data_Extraction__66_files[[#This Row],[Study ID_1]],'Coded Segments'!$D$2:$D$913,SLR_Covidence_Data_Extraction__66_files[[#Headers],[Attitude (ATT) &gt; ATT_Positive]])</f>
        <v>1</v>
      </c>
      <c r="AN2" s="37">
        <f>+COUNTIFS('Coded Segments'!$C$2:$C$913,SLR_Covidence_Data_Extraction__66_files[[#This Row],[Study ID_1]],'Coded Segments'!$D$2:$D$913,SLR_Covidence_Data_Extraction__66_files[[#Headers],[Ethical Concerns (EC) &gt; EC_Bias]])</f>
        <v>0</v>
      </c>
      <c r="AO2" s="37">
        <f>+COUNTIFS('Coded Segments'!$C$2:$C$913,SLR_Covidence_Data_Extraction__66_files[[#This Row],[Study ID_1]],'Coded Segments'!$D$2:$D$913,SLR_Covidence_Data_Extraction__66_files[[#Headers],[Ethical Concerns (EC) &gt; EC_Copyright]])</f>
        <v>0</v>
      </c>
      <c r="AP2" s="37">
        <f>+COUNTIFS('Coded Segments'!$C$2:$C$913,SLR_Covidence_Data_Extraction__66_files[[#This Row],[Study ID_1]],'Coded Segments'!$D$2:$D$913,SLR_Covidence_Data_Extraction__66_files[[#Headers],[Ethical Concerns (EC) &gt; EC_Data safety &amp; confidentiality]])</f>
        <v>0</v>
      </c>
      <c r="AQ2" s="37">
        <f>+COUNTIFS('Coded Segments'!$C$2:$C$913,SLR_Covidence_Data_Extraction__66_files[[#This Row],[Study ID_1]],'Coded Segments'!$D$2:$D$913,SLR_Covidence_Data_Extraction__66_files[[#Headers],[Ethical Concerns (EC) &gt; EC_Environmental sustainability]])</f>
        <v>0</v>
      </c>
      <c r="AR2" s="37">
        <f>+COUNTIFS('Coded Segments'!$C$2:$C$913,SLR_Covidence_Data_Extraction__66_files[[#This Row],[Study ID_1]],'Coded Segments'!$D$2:$D$913,SLR_Covidence_Data_Extraction__66_files[[#Headers],[Ethical Concerns (EC) &gt; EC_Payment]])</f>
        <v>1</v>
      </c>
      <c r="AS2" s="37">
        <f>+COUNTIFS('Coded Segments'!$C$2:$C$912,SLR_Covidence_Data_Extraction__66_files[[#This Row],[Study ID_1]],'Coded Segments'!$D$2:$D$912,SLR_Covidence_Data_Extraction__66_files[[#Headers],[Ethical Concerns (EC) &gt; EC_Quality]])</f>
        <v>1</v>
      </c>
      <c r="AT2" s="37">
        <f>+COUNTIFS('Coded Segments'!$C$2:$C$913,SLR_Covidence_Data_Extraction__66_files[[#This Row],[Study ID_1]],'Coded Segments'!$D$2:$D$913,SLR_Covidence_Data_Extraction__66_files[[#Headers],[Ethical Concerns (EC) &gt; EC_Translators’ role &amp; status]])</f>
        <v>0</v>
      </c>
      <c r="AU2" s="37">
        <f>+COUNTIFS('Coded Segments'!$C$2:$C$913,SLR_Covidence_Data_Extraction__66_files[[#This Row],[Study ID_1]],'Coded Segments'!$D$2:$D$913,SLR_Covidence_Data_Extraction__66_files[[#Headers],[Ethical Concerns (EC) &gt; EC_Other]])</f>
        <v>0</v>
      </c>
      <c r="AV2" s="37">
        <f>+COUNTIFS('Coded Segments'!$C$2:$C$913,SLR_Covidence_Data_Extraction__66_files[[#This Row],[Study ID_1]],'Coded Segments'!$D$2:$D$913,SLR_Covidence_Data_Extraction__66_files[[#Headers],[Literacy (LIT) &gt; LIT_Generic]])</f>
        <v>0</v>
      </c>
      <c r="AW2" s="37">
        <f>+COUNTIFS('Coded Segments'!$C$2:$C$913,SLR_Covidence_Data_Extraction__66_files[[#This Row],[Study ID_1]],'Coded Segments'!$D$2:$D$913,SLR_Covidence_Data_Extraction__66_files[[#Headers],[Literacy (LIT) &gt; LIT_None ]])</f>
        <v>1</v>
      </c>
      <c r="AX2" s="37">
        <f>+COUNTIFS('Coded Segments'!$C$2:$C$913,SLR_Covidence_Data_Extraction__66_files[[#This Row],[Study ID_1]],'Coded Segments'!$D$2:$D$913,SLR_Covidence_Data_Extraction__66_files[[#Headers],[Literacy (LIT) &gt; LIT_Low ]])</f>
        <v>2</v>
      </c>
      <c r="AY2" s="37">
        <f>+COUNTIFS('Coded Segments'!$C$2:$C$913,SLR_Covidence_Data_Extraction__66_files[[#This Row],[Study ID_1]],'Coded Segments'!$D$2:$D$913,SLR_Covidence_Data_Extraction__66_files[[#Headers],[Literacy (LIT) &gt; LIT_High]])</f>
        <v>0</v>
      </c>
    </row>
    <row r="3" spans="1:51" x14ac:dyDescent="0.25">
      <c r="A3" s="37">
        <v>31</v>
      </c>
      <c r="B3" s="37" t="s">
        <v>511</v>
      </c>
      <c r="C3" s="37" t="s">
        <v>510</v>
      </c>
      <c r="D3" s="37" t="s">
        <v>512</v>
      </c>
      <c r="E3" s="37" t="s">
        <v>513</v>
      </c>
      <c r="F3" s="37" t="s">
        <v>514</v>
      </c>
      <c r="G3" s="37" t="s">
        <v>101</v>
      </c>
      <c r="H3" s="39" t="s">
        <v>869</v>
      </c>
      <c r="I3" s="39" t="str">
        <f>LEFT(SLR_Covidence_Data_Extraction__66_files[[#This Row],[Publication date]],4)</f>
        <v>2018</v>
      </c>
      <c r="J3" s="37" t="s">
        <v>101</v>
      </c>
      <c r="K3" s="37" t="s">
        <v>515</v>
      </c>
      <c r="L3" s="37" t="s">
        <v>1478</v>
      </c>
      <c r="P3" s="37" t="s">
        <v>26</v>
      </c>
      <c r="Q3" s="37" t="s">
        <v>26</v>
      </c>
      <c r="S3" s="37" t="s">
        <v>344</v>
      </c>
      <c r="T3" s="37" t="s">
        <v>344</v>
      </c>
      <c r="U3" s="37" t="s">
        <v>26</v>
      </c>
      <c r="V3" s="37" t="s">
        <v>32</v>
      </c>
      <c r="X3" s="37" t="s">
        <v>516</v>
      </c>
      <c r="Y3" s="37" t="s">
        <v>517</v>
      </c>
      <c r="Z3" s="37" t="s">
        <v>136</v>
      </c>
      <c r="AA3" s="37" t="s">
        <v>1464</v>
      </c>
      <c r="AB3" s="38">
        <v>8</v>
      </c>
      <c r="AC3" s="37" t="s">
        <v>862</v>
      </c>
      <c r="AD3" s="37" t="s">
        <v>518</v>
      </c>
      <c r="AE3" s="37" t="s">
        <v>519</v>
      </c>
      <c r="AF3" s="37" t="s">
        <v>520</v>
      </c>
      <c r="AG3" s="37" t="s">
        <v>232</v>
      </c>
      <c r="AH3" s="37">
        <f>+COUNTIFS('Coded Segments'!$C$2:$C$913,SLR_Covidence_Data_Extraction__66_files[[#This Row],[Study ID_1]],'Coded Segments'!$D$2:$D$913,SLR_Covidence_Data_Extraction__66_files[[#Headers],[Adoption (AD) &gt; AD_High]])</f>
        <v>0</v>
      </c>
      <c r="AI3" s="37">
        <f>+COUNTIFS('Coded Segments'!$C$2:$C$913,SLR_Covidence_Data_Extraction__66_files[[#This Row],[Study ID_1]],'Coded Segments'!$D$2:$D$913,SLR_Covidence_Data_Extraction__66_files[[#Headers],[Adoption (AD) &gt; AD_Moderate]])</f>
        <v>0</v>
      </c>
      <c r="AJ3" s="37">
        <f>+COUNTIFS('Coded Segments'!$C$2:$C$913,SLR_Covidence_Data_Extraction__66_files[[#This Row],[Study ID_1]],'Coded Segments'!$D$2:$D$913,SLR_Covidence_Data_Extraction__66_files[[#Headers],[Adoption (AD) &gt; AD_Low]])</f>
        <v>0</v>
      </c>
      <c r="AK3" s="37">
        <f>+COUNTIFS('Coded Segments'!$C$2:$C$913,SLR_Covidence_Data_Extraction__66_files[[#This Row],[Study ID_1]],'Coded Segments'!$D$2:$D$913,SLR_Covidence_Data_Extraction__66_files[[#Headers],[Adoption (AD) &gt; AD_None]])</f>
        <v>1</v>
      </c>
      <c r="AL3" s="37">
        <f>+COUNTIFS('Coded Segments'!$C$2:$C$913,SLR_Covidence_Data_Extraction__66_files[[#This Row],[Study ID_1]],'Coded Segments'!$D$2:$D$913,SLR_Covidence_Data_Extraction__66_files[[#Headers],[Attitude (ATT) &gt; ATT_Negative]])</f>
        <v>4</v>
      </c>
      <c r="AM3" s="37">
        <f>+COUNTIFS('Coded Segments'!$C$2:$C$913,SLR_Covidence_Data_Extraction__66_files[[#This Row],[Study ID_1]],'Coded Segments'!$D$2:$D$913,SLR_Covidence_Data_Extraction__66_files[[#Headers],[Attitude (ATT) &gt; ATT_Positive]])</f>
        <v>0</v>
      </c>
      <c r="AN3" s="37">
        <f>+COUNTIFS('Coded Segments'!$C$2:$C$913,SLR_Covidence_Data_Extraction__66_files[[#This Row],[Study ID_1]],'Coded Segments'!$D$2:$D$913,SLR_Covidence_Data_Extraction__66_files[[#Headers],[Ethical Concerns (EC) &gt; EC_Bias]])</f>
        <v>0</v>
      </c>
      <c r="AO3" s="37">
        <f>+COUNTIFS('Coded Segments'!$C$2:$C$913,SLR_Covidence_Data_Extraction__66_files[[#This Row],[Study ID_1]],'Coded Segments'!$D$2:$D$913,SLR_Covidence_Data_Extraction__66_files[[#Headers],[Ethical Concerns (EC) &gt; EC_Copyright]])</f>
        <v>0</v>
      </c>
      <c r="AP3" s="37">
        <f>+COUNTIFS('Coded Segments'!$C$2:$C$913,SLR_Covidence_Data_Extraction__66_files[[#This Row],[Study ID_1]],'Coded Segments'!$D$2:$D$913,SLR_Covidence_Data_Extraction__66_files[[#Headers],[Ethical Concerns (EC) &gt; EC_Data safety &amp; confidentiality]])</f>
        <v>0</v>
      </c>
      <c r="AQ3" s="37">
        <f>+COUNTIFS('Coded Segments'!$C$2:$C$913,SLR_Covidence_Data_Extraction__66_files[[#This Row],[Study ID_1]],'Coded Segments'!$D$2:$D$913,SLR_Covidence_Data_Extraction__66_files[[#Headers],[Ethical Concerns (EC) &gt; EC_Environmental sustainability]])</f>
        <v>0</v>
      </c>
      <c r="AR3" s="37">
        <f>+COUNTIFS('Coded Segments'!$C$2:$C$913,SLR_Covidence_Data_Extraction__66_files[[#This Row],[Study ID_1]],'Coded Segments'!$D$2:$D$913,SLR_Covidence_Data_Extraction__66_files[[#Headers],[Ethical Concerns (EC) &gt; EC_Payment]])</f>
        <v>0</v>
      </c>
      <c r="AS3" s="37">
        <f>+COUNTIFS('Coded Segments'!$C$2:$C$912,SLR_Covidence_Data_Extraction__66_files[[#This Row],[Study ID_1]],'Coded Segments'!$D$2:$D$912,SLR_Covidence_Data_Extraction__66_files[[#Headers],[Ethical Concerns (EC) &gt; EC_Quality]])</f>
        <v>3</v>
      </c>
      <c r="AT3" s="37">
        <f>+COUNTIFS('Coded Segments'!$C$2:$C$913,SLR_Covidence_Data_Extraction__66_files[[#This Row],[Study ID_1]],'Coded Segments'!$D$2:$D$913,SLR_Covidence_Data_Extraction__66_files[[#Headers],[Ethical Concerns (EC) &gt; EC_Translators’ role &amp; status]])</f>
        <v>0</v>
      </c>
      <c r="AU3" s="37">
        <f>+COUNTIFS('Coded Segments'!$C$2:$C$913,SLR_Covidence_Data_Extraction__66_files[[#This Row],[Study ID_1]],'Coded Segments'!$D$2:$D$913,SLR_Covidence_Data_Extraction__66_files[[#Headers],[Ethical Concerns (EC) &gt; EC_Other]])</f>
        <v>0</v>
      </c>
      <c r="AV3" s="37">
        <f>+COUNTIFS('Coded Segments'!$C$2:$C$913,SLR_Covidence_Data_Extraction__66_files[[#This Row],[Study ID_1]],'Coded Segments'!$D$2:$D$913,SLR_Covidence_Data_Extraction__66_files[[#Headers],[Literacy (LIT) &gt; LIT_Generic]])</f>
        <v>0</v>
      </c>
      <c r="AW3" s="37">
        <f>+COUNTIFS('Coded Segments'!$C$2:$C$913,SLR_Covidence_Data_Extraction__66_files[[#This Row],[Study ID_1]],'Coded Segments'!$D$2:$D$913,SLR_Covidence_Data_Extraction__66_files[[#Headers],[Literacy (LIT) &gt; LIT_None ]])</f>
        <v>0</v>
      </c>
      <c r="AX3" s="37">
        <f>+COUNTIFS('Coded Segments'!$C$2:$C$913,SLR_Covidence_Data_Extraction__66_files[[#This Row],[Study ID_1]],'Coded Segments'!$D$2:$D$913,SLR_Covidence_Data_Extraction__66_files[[#Headers],[Literacy (LIT) &gt; LIT_Low ]])</f>
        <v>0</v>
      </c>
      <c r="AY3" s="37">
        <f>+COUNTIFS('Coded Segments'!$C$2:$C$913,SLR_Covidence_Data_Extraction__66_files[[#This Row],[Study ID_1]],'Coded Segments'!$D$2:$D$913,SLR_Covidence_Data_Extraction__66_files[[#Headers],[Literacy (LIT) &gt; LIT_High]])</f>
        <v>0</v>
      </c>
    </row>
    <row r="4" spans="1:51" x14ac:dyDescent="0.25">
      <c r="A4" s="37">
        <v>13</v>
      </c>
      <c r="B4" s="37" t="s">
        <v>654</v>
      </c>
      <c r="C4" s="37" t="s">
        <v>652</v>
      </c>
      <c r="D4" s="37" t="s">
        <v>653</v>
      </c>
      <c r="E4" s="37" t="s">
        <v>455</v>
      </c>
      <c r="F4" s="37" t="s">
        <v>456</v>
      </c>
      <c r="G4" s="37" t="s">
        <v>101</v>
      </c>
      <c r="H4" s="39" t="s">
        <v>885</v>
      </c>
      <c r="I4" s="39" t="str">
        <f>LEFT(SLR_Covidence_Data_Extraction__66_files[[#This Row],[Publication date]],4)</f>
        <v>2018</v>
      </c>
      <c r="J4" s="37" t="s">
        <v>769</v>
      </c>
      <c r="K4" s="37" t="s">
        <v>655</v>
      </c>
      <c r="O4" s="37" t="s">
        <v>886</v>
      </c>
      <c r="P4" s="37" t="s">
        <v>26</v>
      </c>
      <c r="Q4" s="37" t="s">
        <v>26</v>
      </c>
      <c r="S4" s="37" t="s">
        <v>656</v>
      </c>
      <c r="T4" s="37" t="s">
        <v>657</v>
      </c>
      <c r="U4" s="37" t="s">
        <v>51</v>
      </c>
      <c r="V4" s="37" t="s">
        <v>32</v>
      </c>
      <c r="X4" s="37" t="s">
        <v>26</v>
      </c>
      <c r="Y4" s="37" t="s">
        <v>658</v>
      </c>
      <c r="Z4" s="37" t="s">
        <v>136</v>
      </c>
      <c r="AA4" s="37" t="s">
        <v>1463</v>
      </c>
      <c r="AB4" s="38">
        <v>50</v>
      </c>
      <c r="AC4" s="37" t="s">
        <v>26</v>
      </c>
      <c r="AD4" s="37" t="s">
        <v>659</v>
      </c>
      <c r="AE4" s="37" t="s">
        <v>660</v>
      </c>
      <c r="AF4" s="37" t="s">
        <v>661</v>
      </c>
      <c r="AG4" s="37" t="s">
        <v>125</v>
      </c>
      <c r="AH4" s="37">
        <f>+COUNTIFS('Coded Segments'!$C$2:$C$913,SLR_Covidence_Data_Extraction__66_files[[#This Row],[Study ID_1]],'Coded Segments'!$D$2:$D$913,SLR_Covidence_Data_Extraction__66_files[[#Headers],[Adoption (AD) &gt; AD_High]])</f>
        <v>0</v>
      </c>
      <c r="AI4" s="37">
        <f>+COUNTIFS('Coded Segments'!$C$2:$C$913,SLR_Covidence_Data_Extraction__66_files[[#This Row],[Study ID_1]],'Coded Segments'!$D$2:$D$913,SLR_Covidence_Data_Extraction__66_files[[#Headers],[Adoption (AD) &gt; AD_Moderate]])</f>
        <v>0</v>
      </c>
      <c r="AJ4" s="37">
        <f>+COUNTIFS('Coded Segments'!$C$2:$C$913,SLR_Covidence_Data_Extraction__66_files[[#This Row],[Study ID_1]],'Coded Segments'!$D$2:$D$913,SLR_Covidence_Data_Extraction__66_files[[#Headers],[Adoption (AD) &gt; AD_Low]])</f>
        <v>0</v>
      </c>
      <c r="AK4" s="37">
        <f>+COUNTIFS('Coded Segments'!$C$2:$C$913,SLR_Covidence_Data_Extraction__66_files[[#This Row],[Study ID_1]],'Coded Segments'!$D$2:$D$913,SLR_Covidence_Data_Extraction__66_files[[#Headers],[Adoption (AD) &gt; AD_None]])</f>
        <v>0</v>
      </c>
      <c r="AL4" s="37">
        <f>+COUNTIFS('Coded Segments'!$C$2:$C$913,SLR_Covidence_Data_Extraction__66_files[[#This Row],[Study ID_1]],'Coded Segments'!$D$2:$D$913,SLR_Covidence_Data_Extraction__66_files[[#Headers],[Attitude (ATT) &gt; ATT_Negative]])</f>
        <v>5</v>
      </c>
      <c r="AM4" s="37">
        <f>+COUNTIFS('Coded Segments'!$C$2:$C$913,SLR_Covidence_Data_Extraction__66_files[[#This Row],[Study ID_1]],'Coded Segments'!$D$2:$D$913,SLR_Covidence_Data_Extraction__66_files[[#Headers],[Attitude (ATT) &gt; ATT_Positive]])</f>
        <v>3</v>
      </c>
      <c r="AN4" s="37">
        <f>+COUNTIFS('Coded Segments'!$C$2:$C$913,SLR_Covidence_Data_Extraction__66_files[[#This Row],[Study ID_1]],'Coded Segments'!$D$2:$D$913,SLR_Covidence_Data_Extraction__66_files[[#Headers],[Ethical Concerns (EC) &gt; EC_Bias]])</f>
        <v>0</v>
      </c>
      <c r="AO4" s="37">
        <f>+COUNTIFS('Coded Segments'!$C$2:$C$913,SLR_Covidence_Data_Extraction__66_files[[#This Row],[Study ID_1]],'Coded Segments'!$D$2:$D$913,SLR_Covidence_Data_Extraction__66_files[[#Headers],[Ethical Concerns (EC) &gt; EC_Copyright]])</f>
        <v>0</v>
      </c>
      <c r="AP4" s="37">
        <f>+COUNTIFS('Coded Segments'!$C$2:$C$913,SLR_Covidence_Data_Extraction__66_files[[#This Row],[Study ID_1]],'Coded Segments'!$D$2:$D$913,SLR_Covidence_Data_Extraction__66_files[[#Headers],[Ethical Concerns (EC) &gt; EC_Data safety &amp; confidentiality]])</f>
        <v>0</v>
      </c>
      <c r="AQ4" s="37">
        <f>+COUNTIFS('Coded Segments'!$C$2:$C$913,SLR_Covidence_Data_Extraction__66_files[[#This Row],[Study ID_1]],'Coded Segments'!$D$2:$D$913,SLR_Covidence_Data_Extraction__66_files[[#Headers],[Ethical Concerns (EC) &gt; EC_Environmental sustainability]])</f>
        <v>0</v>
      </c>
      <c r="AR4" s="37">
        <f>+COUNTIFS('Coded Segments'!$C$2:$C$913,SLR_Covidence_Data_Extraction__66_files[[#This Row],[Study ID_1]],'Coded Segments'!$D$2:$D$913,SLR_Covidence_Data_Extraction__66_files[[#Headers],[Ethical Concerns (EC) &gt; EC_Payment]])</f>
        <v>4</v>
      </c>
      <c r="AS4" s="37">
        <f>+COUNTIFS('Coded Segments'!$C$2:$C$912,SLR_Covidence_Data_Extraction__66_files[[#This Row],[Study ID_1]],'Coded Segments'!$D$2:$D$912,SLR_Covidence_Data_Extraction__66_files[[#Headers],[Ethical Concerns (EC) &gt; EC_Quality]])</f>
        <v>2</v>
      </c>
      <c r="AT4" s="37">
        <f>+COUNTIFS('Coded Segments'!$C$2:$C$913,SLR_Covidence_Data_Extraction__66_files[[#This Row],[Study ID_1]],'Coded Segments'!$D$2:$D$913,SLR_Covidence_Data_Extraction__66_files[[#Headers],[Ethical Concerns (EC) &gt; EC_Translators’ role &amp; status]])</f>
        <v>3</v>
      </c>
      <c r="AU4" s="37">
        <f>+COUNTIFS('Coded Segments'!$C$2:$C$913,SLR_Covidence_Data_Extraction__66_files[[#This Row],[Study ID_1]],'Coded Segments'!$D$2:$D$913,SLR_Covidence_Data_Extraction__66_files[[#Headers],[Ethical Concerns (EC) &gt; EC_Other]])</f>
        <v>0</v>
      </c>
      <c r="AV4" s="37">
        <f>+COUNTIFS('Coded Segments'!$C$2:$C$913,SLR_Covidence_Data_Extraction__66_files[[#This Row],[Study ID_1]],'Coded Segments'!$D$2:$D$913,SLR_Covidence_Data_Extraction__66_files[[#Headers],[Literacy (LIT) &gt; LIT_Generic]])</f>
        <v>0</v>
      </c>
      <c r="AW4" s="37">
        <f>+COUNTIFS('Coded Segments'!$C$2:$C$913,SLR_Covidence_Data_Extraction__66_files[[#This Row],[Study ID_1]],'Coded Segments'!$D$2:$D$913,SLR_Covidence_Data_Extraction__66_files[[#Headers],[Literacy (LIT) &gt; LIT_None ]])</f>
        <v>0</v>
      </c>
      <c r="AX4" s="37">
        <f>+COUNTIFS('Coded Segments'!$C$2:$C$913,SLR_Covidence_Data_Extraction__66_files[[#This Row],[Study ID_1]],'Coded Segments'!$D$2:$D$913,SLR_Covidence_Data_Extraction__66_files[[#Headers],[Literacy (LIT) &gt; LIT_Low ]])</f>
        <v>0</v>
      </c>
      <c r="AY4" s="37">
        <f>+COUNTIFS('Coded Segments'!$C$2:$C$913,SLR_Covidence_Data_Extraction__66_files[[#This Row],[Study ID_1]],'Coded Segments'!$D$2:$D$913,SLR_Covidence_Data_Extraction__66_files[[#Headers],[Literacy (LIT) &gt; LIT_High]])</f>
        <v>0</v>
      </c>
    </row>
    <row r="5" spans="1:51" x14ac:dyDescent="0.25">
      <c r="A5" s="37">
        <v>36</v>
      </c>
      <c r="B5" s="37" t="s">
        <v>465</v>
      </c>
      <c r="C5" s="37" t="s">
        <v>464</v>
      </c>
      <c r="D5" s="37" t="s">
        <v>466</v>
      </c>
      <c r="E5" s="37" t="s">
        <v>467</v>
      </c>
      <c r="F5" s="37" t="s">
        <v>468</v>
      </c>
      <c r="G5" s="37" t="s">
        <v>767</v>
      </c>
      <c r="H5" s="39" t="s">
        <v>344</v>
      </c>
      <c r="I5" s="39" t="str">
        <f>LEFT(SLR_Covidence_Data_Extraction__66_files[[#This Row],[Publication date]],4)</f>
        <v>2018</v>
      </c>
      <c r="J5" s="37" t="s">
        <v>767</v>
      </c>
      <c r="K5" s="37" t="s">
        <v>469</v>
      </c>
      <c r="L5" s="37" t="s">
        <v>1478</v>
      </c>
      <c r="N5" s="37" t="s">
        <v>1480</v>
      </c>
      <c r="P5" s="37" t="s">
        <v>26</v>
      </c>
      <c r="Q5" s="37" t="s">
        <v>26</v>
      </c>
      <c r="S5" s="37" t="s">
        <v>26</v>
      </c>
      <c r="T5" s="37" t="s">
        <v>26</v>
      </c>
      <c r="U5" s="37" t="s">
        <v>228</v>
      </c>
      <c r="V5" s="37" t="s">
        <v>32</v>
      </c>
      <c r="W5" s="37" t="s">
        <v>148</v>
      </c>
      <c r="X5" s="37" t="s">
        <v>26</v>
      </c>
      <c r="Y5" s="37" t="s">
        <v>470</v>
      </c>
      <c r="Z5" s="37" t="s">
        <v>136</v>
      </c>
      <c r="AA5" s="37" t="s">
        <v>1463</v>
      </c>
      <c r="AB5" s="38">
        <v>8</v>
      </c>
      <c r="AC5" s="37" t="s">
        <v>862</v>
      </c>
      <c r="AD5" s="37" t="s">
        <v>471</v>
      </c>
      <c r="AE5" s="37" t="s">
        <v>472</v>
      </c>
      <c r="AF5" s="37" t="s">
        <v>1674</v>
      </c>
      <c r="AG5" s="37" t="s">
        <v>95</v>
      </c>
      <c r="AH5" s="37">
        <f>+COUNTIFS('Coded Segments'!$C$2:$C$913,SLR_Covidence_Data_Extraction__66_files[[#This Row],[Study ID_1]],'Coded Segments'!$D$2:$D$913,SLR_Covidence_Data_Extraction__66_files[[#Headers],[Adoption (AD) &gt; AD_High]])</f>
        <v>0</v>
      </c>
      <c r="AI5" s="37">
        <f>+COUNTIFS('Coded Segments'!$C$2:$C$913,SLR_Covidence_Data_Extraction__66_files[[#This Row],[Study ID_1]],'Coded Segments'!$D$2:$D$913,SLR_Covidence_Data_Extraction__66_files[[#Headers],[Adoption (AD) &gt; AD_Moderate]])</f>
        <v>2</v>
      </c>
      <c r="AJ5" s="37">
        <f>+COUNTIFS('Coded Segments'!$C$2:$C$913,SLR_Covidence_Data_Extraction__66_files[[#This Row],[Study ID_1]],'Coded Segments'!$D$2:$D$913,SLR_Covidence_Data_Extraction__66_files[[#Headers],[Adoption (AD) &gt; AD_Low]])</f>
        <v>0</v>
      </c>
      <c r="AK5" s="37">
        <f>+COUNTIFS('Coded Segments'!$C$2:$C$913,SLR_Covidence_Data_Extraction__66_files[[#This Row],[Study ID_1]],'Coded Segments'!$D$2:$D$913,SLR_Covidence_Data_Extraction__66_files[[#Headers],[Adoption (AD) &gt; AD_None]])</f>
        <v>0</v>
      </c>
      <c r="AL5" s="37">
        <f>+COUNTIFS('Coded Segments'!$C$2:$C$913,SLR_Covidence_Data_Extraction__66_files[[#This Row],[Study ID_1]],'Coded Segments'!$D$2:$D$913,SLR_Covidence_Data_Extraction__66_files[[#Headers],[Attitude (ATT) &gt; ATT_Negative]])</f>
        <v>0</v>
      </c>
      <c r="AM5" s="37">
        <f>+COUNTIFS('Coded Segments'!$C$2:$C$913,SLR_Covidence_Data_Extraction__66_files[[#This Row],[Study ID_1]],'Coded Segments'!$D$2:$D$913,SLR_Covidence_Data_Extraction__66_files[[#Headers],[Attitude (ATT) &gt; ATT_Positive]])</f>
        <v>3</v>
      </c>
      <c r="AN5" s="37">
        <f>+COUNTIFS('Coded Segments'!$C$2:$C$913,SLR_Covidence_Data_Extraction__66_files[[#This Row],[Study ID_1]],'Coded Segments'!$D$2:$D$913,SLR_Covidence_Data_Extraction__66_files[[#Headers],[Ethical Concerns (EC) &gt; EC_Bias]])</f>
        <v>0</v>
      </c>
      <c r="AO5" s="37">
        <f>+COUNTIFS('Coded Segments'!$C$2:$C$913,SLR_Covidence_Data_Extraction__66_files[[#This Row],[Study ID_1]],'Coded Segments'!$D$2:$D$913,SLR_Covidence_Data_Extraction__66_files[[#Headers],[Ethical Concerns (EC) &gt; EC_Copyright]])</f>
        <v>0</v>
      </c>
      <c r="AP5" s="37">
        <f>+COUNTIFS('Coded Segments'!$C$2:$C$913,SLR_Covidence_Data_Extraction__66_files[[#This Row],[Study ID_1]],'Coded Segments'!$D$2:$D$913,SLR_Covidence_Data_Extraction__66_files[[#Headers],[Ethical Concerns (EC) &gt; EC_Data safety &amp; confidentiality]])</f>
        <v>0</v>
      </c>
      <c r="AQ5" s="37">
        <f>+COUNTIFS('Coded Segments'!$C$2:$C$913,SLR_Covidence_Data_Extraction__66_files[[#This Row],[Study ID_1]],'Coded Segments'!$D$2:$D$913,SLR_Covidence_Data_Extraction__66_files[[#Headers],[Ethical Concerns (EC) &gt; EC_Environmental sustainability]])</f>
        <v>0</v>
      </c>
      <c r="AR5" s="37">
        <f>+COUNTIFS('Coded Segments'!$C$2:$C$913,SLR_Covidence_Data_Extraction__66_files[[#This Row],[Study ID_1]],'Coded Segments'!$D$2:$D$913,SLR_Covidence_Data_Extraction__66_files[[#Headers],[Ethical Concerns (EC) &gt; EC_Payment]])</f>
        <v>0</v>
      </c>
      <c r="AS5" s="37">
        <f>+COUNTIFS('Coded Segments'!$C$2:$C$912,SLR_Covidence_Data_Extraction__66_files[[#This Row],[Study ID_1]],'Coded Segments'!$D$2:$D$912,SLR_Covidence_Data_Extraction__66_files[[#Headers],[Ethical Concerns (EC) &gt; EC_Quality]])</f>
        <v>3</v>
      </c>
      <c r="AT5" s="37">
        <f>+COUNTIFS('Coded Segments'!$C$2:$C$913,SLR_Covidence_Data_Extraction__66_files[[#This Row],[Study ID_1]],'Coded Segments'!$D$2:$D$913,SLR_Covidence_Data_Extraction__66_files[[#Headers],[Ethical Concerns (EC) &gt; EC_Translators’ role &amp; status]])</f>
        <v>0</v>
      </c>
      <c r="AU5" s="37">
        <f>+COUNTIFS('Coded Segments'!$C$2:$C$913,SLR_Covidence_Data_Extraction__66_files[[#This Row],[Study ID_1]],'Coded Segments'!$D$2:$D$913,SLR_Covidence_Data_Extraction__66_files[[#Headers],[Ethical Concerns (EC) &gt; EC_Other]])</f>
        <v>0</v>
      </c>
      <c r="AV5" s="37">
        <f>+COUNTIFS('Coded Segments'!$C$2:$C$913,SLR_Covidence_Data_Extraction__66_files[[#This Row],[Study ID_1]],'Coded Segments'!$D$2:$D$913,SLR_Covidence_Data_Extraction__66_files[[#Headers],[Literacy (LIT) &gt; LIT_Generic]])</f>
        <v>3</v>
      </c>
      <c r="AW5" s="37">
        <f>+COUNTIFS('Coded Segments'!$C$2:$C$913,SLR_Covidence_Data_Extraction__66_files[[#This Row],[Study ID_1]],'Coded Segments'!$D$2:$D$913,SLR_Covidence_Data_Extraction__66_files[[#Headers],[Literacy (LIT) &gt; LIT_None ]])</f>
        <v>0</v>
      </c>
      <c r="AX5" s="37">
        <f>+COUNTIFS('Coded Segments'!$C$2:$C$913,SLR_Covidence_Data_Extraction__66_files[[#This Row],[Study ID_1]],'Coded Segments'!$D$2:$D$913,SLR_Covidence_Data_Extraction__66_files[[#Headers],[Literacy (LIT) &gt; LIT_Low ]])</f>
        <v>0</v>
      </c>
      <c r="AY5" s="37">
        <f>+COUNTIFS('Coded Segments'!$C$2:$C$913,SLR_Covidence_Data_Extraction__66_files[[#This Row],[Study ID_1]],'Coded Segments'!$D$2:$D$913,SLR_Covidence_Data_Extraction__66_files[[#Headers],[Literacy (LIT) &gt; LIT_High]])</f>
        <v>0</v>
      </c>
    </row>
    <row r="6" spans="1:51" x14ac:dyDescent="0.25">
      <c r="A6" s="37">
        <v>57</v>
      </c>
      <c r="B6" s="37" t="s">
        <v>304</v>
      </c>
      <c r="C6" s="37" t="s">
        <v>303</v>
      </c>
      <c r="D6" s="37" t="s">
        <v>305</v>
      </c>
      <c r="E6" s="37" t="s">
        <v>306</v>
      </c>
      <c r="F6" s="37" t="s">
        <v>307</v>
      </c>
      <c r="G6" s="37" t="s">
        <v>70</v>
      </c>
      <c r="H6" s="39" t="s">
        <v>843</v>
      </c>
      <c r="I6" s="39" t="str">
        <f>LEFT(SLR_Covidence_Data_Extraction__66_files[[#This Row],[Publication date]],4)</f>
        <v>2018</v>
      </c>
      <c r="J6" s="37" t="s">
        <v>70</v>
      </c>
      <c r="K6" s="37" t="s">
        <v>308</v>
      </c>
      <c r="L6" s="37" t="s">
        <v>1478</v>
      </c>
      <c r="P6" s="37" t="s">
        <v>28</v>
      </c>
      <c r="Q6" s="37" t="s">
        <v>28</v>
      </c>
      <c r="R6" s="37">
        <v>15</v>
      </c>
      <c r="S6" s="37" t="s">
        <v>26</v>
      </c>
      <c r="T6" s="37" t="s">
        <v>26</v>
      </c>
      <c r="U6" s="37" t="s">
        <v>77</v>
      </c>
      <c r="V6" s="37" t="s">
        <v>32</v>
      </c>
      <c r="X6" s="37" t="s">
        <v>309</v>
      </c>
      <c r="Y6" s="37" t="s">
        <v>310</v>
      </c>
      <c r="Z6" s="37" t="s">
        <v>136</v>
      </c>
      <c r="AA6" s="37" t="s">
        <v>1463</v>
      </c>
      <c r="AB6" s="38">
        <v>124</v>
      </c>
      <c r="AC6" s="37" t="s">
        <v>844</v>
      </c>
      <c r="AD6" s="37" t="s">
        <v>311</v>
      </c>
      <c r="AE6" s="37" t="s">
        <v>312</v>
      </c>
      <c r="AF6" s="37" t="s">
        <v>313</v>
      </c>
      <c r="AG6" s="37" t="s">
        <v>111</v>
      </c>
      <c r="AH6" s="37">
        <f>+COUNTIFS('Coded Segments'!$C$2:$C$913,SLR_Covidence_Data_Extraction__66_files[[#This Row],[Study ID_1]],'Coded Segments'!$D$2:$D$913,SLR_Covidence_Data_Extraction__66_files[[#Headers],[Adoption (AD) &gt; AD_High]])</f>
        <v>1</v>
      </c>
      <c r="AI6" s="37">
        <f>+COUNTIFS('Coded Segments'!$C$2:$C$913,SLR_Covidence_Data_Extraction__66_files[[#This Row],[Study ID_1]],'Coded Segments'!$D$2:$D$913,SLR_Covidence_Data_Extraction__66_files[[#Headers],[Adoption (AD) &gt; AD_Moderate]])</f>
        <v>0</v>
      </c>
      <c r="AJ6" s="37">
        <f>+COUNTIFS('Coded Segments'!$C$2:$C$913,SLR_Covidence_Data_Extraction__66_files[[#This Row],[Study ID_1]],'Coded Segments'!$D$2:$D$913,SLR_Covidence_Data_Extraction__66_files[[#Headers],[Adoption (AD) &gt; AD_Low]])</f>
        <v>0</v>
      </c>
      <c r="AK6" s="37">
        <f>+COUNTIFS('Coded Segments'!$C$2:$C$913,SLR_Covidence_Data_Extraction__66_files[[#This Row],[Study ID_1]],'Coded Segments'!$D$2:$D$913,SLR_Covidence_Data_Extraction__66_files[[#Headers],[Adoption (AD) &gt; AD_None]])</f>
        <v>0</v>
      </c>
      <c r="AL6" s="37">
        <f>+COUNTIFS('Coded Segments'!$C$2:$C$913,SLR_Covidence_Data_Extraction__66_files[[#This Row],[Study ID_1]],'Coded Segments'!$D$2:$D$913,SLR_Covidence_Data_Extraction__66_files[[#Headers],[Attitude (ATT) &gt; ATT_Negative]])</f>
        <v>0</v>
      </c>
      <c r="AM6" s="37">
        <f>+COUNTIFS('Coded Segments'!$C$2:$C$913,SLR_Covidence_Data_Extraction__66_files[[#This Row],[Study ID_1]],'Coded Segments'!$D$2:$D$913,SLR_Covidence_Data_Extraction__66_files[[#Headers],[Attitude (ATT) &gt; ATT_Positive]])</f>
        <v>0</v>
      </c>
      <c r="AN6" s="37">
        <f>+COUNTIFS('Coded Segments'!$C$2:$C$913,SLR_Covidence_Data_Extraction__66_files[[#This Row],[Study ID_1]],'Coded Segments'!$D$2:$D$913,SLR_Covidence_Data_Extraction__66_files[[#Headers],[Ethical Concerns (EC) &gt; EC_Bias]])</f>
        <v>0</v>
      </c>
      <c r="AO6" s="37">
        <f>+COUNTIFS('Coded Segments'!$C$2:$C$913,SLR_Covidence_Data_Extraction__66_files[[#This Row],[Study ID_1]],'Coded Segments'!$D$2:$D$913,SLR_Covidence_Data_Extraction__66_files[[#Headers],[Ethical Concerns (EC) &gt; EC_Copyright]])</f>
        <v>0</v>
      </c>
      <c r="AP6" s="37">
        <f>+COUNTIFS('Coded Segments'!$C$2:$C$913,SLR_Covidence_Data_Extraction__66_files[[#This Row],[Study ID_1]],'Coded Segments'!$D$2:$D$913,SLR_Covidence_Data_Extraction__66_files[[#Headers],[Ethical Concerns (EC) &gt; EC_Data safety &amp; confidentiality]])</f>
        <v>0</v>
      </c>
      <c r="AQ6" s="37">
        <f>+COUNTIFS('Coded Segments'!$C$2:$C$913,SLR_Covidence_Data_Extraction__66_files[[#This Row],[Study ID_1]],'Coded Segments'!$D$2:$D$913,SLR_Covidence_Data_Extraction__66_files[[#Headers],[Ethical Concerns (EC) &gt; EC_Environmental sustainability]])</f>
        <v>0</v>
      </c>
      <c r="AR6" s="37">
        <f>+COUNTIFS('Coded Segments'!$C$2:$C$913,SLR_Covidence_Data_Extraction__66_files[[#This Row],[Study ID_1]],'Coded Segments'!$D$2:$D$913,SLR_Covidence_Data_Extraction__66_files[[#Headers],[Ethical Concerns (EC) &gt; EC_Payment]])</f>
        <v>0</v>
      </c>
      <c r="AS6" s="37">
        <f>+COUNTIFS('Coded Segments'!$C$2:$C$912,SLR_Covidence_Data_Extraction__66_files[[#This Row],[Study ID_1]],'Coded Segments'!$D$2:$D$912,SLR_Covidence_Data_Extraction__66_files[[#Headers],[Ethical Concerns (EC) &gt; EC_Quality]])</f>
        <v>2</v>
      </c>
      <c r="AT6" s="37">
        <f>+COUNTIFS('Coded Segments'!$C$2:$C$913,SLR_Covidence_Data_Extraction__66_files[[#This Row],[Study ID_1]],'Coded Segments'!$D$2:$D$913,SLR_Covidence_Data_Extraction__66_files[[#Headers],[Ethical Concerns (EC) &gt; EC_Translators’ role &amp; status]])</f>
        <v>0</v>
      </c>
      <c r="AU6" s="37">
        <f>+COUNTIFS('Coded Segments'!$C$2:$C$913,SLR_Covidence_Data_Extraction__66_files[[#This Row],[Study ID_1]],'Coded Segments'!$D$2:$D$913,SLR_Covidence_Data_Extraction__66_files[[#Headers],[Ethical Concerns (EC) &gt; EC_Other]])</f>
        <v>0</v>
      </c>
      <c r="AV6" s="37">
        <f>+COUNTIFS('Coded Segments'!$C$2:$C$913,SLR_Covidence_Data_Extraction__66_files[[#This Row],[Study ID_1]],'Coded Segments'!$D$2:$D$913,SLR_Covidence_Data_Extraction__66_files[[#Headers],[Literacy (LIT) &gt; LIT_Generic]])</f>
        <v>1</v>
      </c>
      <c r="AW6" s="37">
        <f>+COUNTIFS('Coded Segments'!$C$2:$C$913,SLR_Covidence_Data_Extraction__66_files[[#This Row],[Study ID_1]],'Coded Segments'!$D$2:$D$913,SLR_Covidence_Data_Extraction__66_files[[#Headers],[Literacy (LIT) &gt; LIT_None ]])</f>
        <v>0</v>
      </c>
      <c r="AX6" s="37">
        <f>+COUNTIFS('Coded Segments'!$C$2:$C$913,SLR_Covidence_Data_Extraction__66_files[[#This Row],[Study ID_1]],'Coded Segments'!$D$2:$D$913,SLR_Covidence_Data_Extraction__66_files[[#Headers],[Literacy (LIT) &gt; LIT_Low ]])</f>
        <v>0</v>
      </c>
      <c r="AY6" s="37">
        <f>+COUNTIFS('Coded Segments'!$C$2:$C$913,SLR_Covidence_Data_Extraction__66_files[[#This Row],[Study ID_1]],'Coded Segments'!$D$2:$D$913,SLR_Covidence_Data_Extraction__66_files[[#Headers],[Literacy (LIT) &gt; LIT_High]])</f>
        <v>0</v>
      </c>
    </row>
    <row r="7" spans="1:51" x14ac:dyDescent="0.25">
      <c r="A7" s="37">
        <v>27</v>
      </c>
      <c r="B7" s="37" t="s">
        <v>543</v>
      </c>
      <c r="C7" s="37" t="s">
        <v>542</v>
      </c>
      <c r="D7" s="37" t="s">
        <v>544</v>
      </c>
      <c r="E7" s="37" t="s">
        <v>545</v>
      </c>
      <c r="F7" s="37" t="s">
        <v>490</v>
      </c>
      <c r="G7" s="37" t="s">
        <v>187</v>
      </c>
      <c r="H7" s="39" t="s">
        <v>872</v>
      </c>
      <c r="I7" s="39" t="str">
        <f>LEFT(SLR_Covidence_Data_Extraction__66_files[[#This Row],[Publication date]],4)</f>
        <v>2018</v>
      </c>
      <c r="J7" s="37" t="s">
        <v>768</v>
      </c>
      <c r="K7" s="37" t="s">
        <v>546</v>
      </c>
      <c r="L7" s="37" t="s">
        <v>1478</v>
      </c>
      <c r="O7" s="37" t="s">
        <v>915</v>
      </c>
      <c r="P7" s="37" t="s">
        <v>26</v>
      </c>
      <c r="Q7" s="37" t="s">
        <v>26</v>
      </c>
      <c r="S7" s="37" t="s">
        <v>26</v>
      </c>
      <c r="T7" s="37" t="s">
        <v>26</v>
      </c>
      <c r="U7" s="37" t="s">
        <v>26</v>
      </c>
      <c r="V7" s="37" t="s">
        <v>32</v>
      </c>
      <c r="W7" s="37" t="s">
        <v>148</v>
      </c>
      <c r="X7" s="37" t="s">
        <v>26</v>
      </c>
      <c r="Y7" s="37" t="s">
        <v>547</v>
      </c>
      <c r="Z7" s="37" t="s">
        <v>136</v>
      </c>
      <c r="AA7" s="37" t="s">
        <v>1464</v>
      </c>
      <c r="AB7" s="38">
        <v>6</v>
      </c>
      <c r="AC7" s="37" t="s">
        <v>343</v>
      </c>
      <c r="AD7" s="37" t="s">
        <v>548</v>
      </c>
      <c r="AE7" s="37" t="s">
        <v>549</v>
      </c>
      <c r="AF7" s="37" t="s">
        <v>550</v>
      </c>
      <c r="AG7" s="37" t="s">
        <v>140</v>
      </c>
      <c r="AH7" s="37">
        <f>+COUNTIFS('Coded Segments'!$C$2:$C$913,SLR_Covidence_Data_Extraction__66_files[[#This Row],[Study ID_1]],'Coded Segments'!$D$2:$D$913,SLR_Covidence_Data_Extraction__66_files[[#Headers],[Adoption (AD) &gt; AD_High]])</f>
        <v>0</v>
      </c>
      <c r="AI7" s="37">
        <f>+COUNTIFS('Coded Segments'!$C$2:$C$913,SLR_Covidence_Data_Extraction__66_files[[#This Row],[Study ID_1]],'Coded Segments'!$D$2:$D$913,SLR_Covidence_Data_Extraction__66_files[[#Headers],[Adoption (AD) &gt; AD_Moderate]])</f>
        <v>0</v>
      </c>
      <c r="AJ7" s="37">
        <f>+COUNTIFS('Coded Segments'!$C$2:$C$913,SLR_Covidence_Data_Extraction__66_files[[#This Row],[Study ID_1]],'Coded Segments'!$D$2:$D$913,SLR_Covidence_Data_Extraction__66_files[[#Headers],[Adoption (AD) &gt; AD_Low]])</f>
        <v>1</v>
      </c>
      <c r="AK7" s="37">
        <f>+COUNTIFS('Coded Segments'!$C$2:$C$913,SLR_Covidence_Data_Extraction__66_files[[#This Row],[Study ID_1]],'Coded Segments'!$D$2:$D$913,SLR_Covidence_Data_Extraction__66_files[[#Headers],[Adoption (AD) &gt; AD_None]])</f>
        <v>0</v>
      </c>
      <c r="AL7" s="37">
        <f>+COUNTIFS('Coded Segments'!$C$2:$C$913,SLR_Covidence_Data_Extraction__66_files[[#This Row],[Study ID_1]],'Coded Segments'!$D$2:$D$913,SLR_Covidence_Data_Extraction__66_files[[#Headers],[Attitude (ATT) &gt; ATT_Negative]])</f>
        <v>6</v>
      </c>
      <c r="AM7" s="37">
        <f>+COUNTIFS('Coded Segments'!$C$2:$C$913,SLR_Covidence_Data_Extraction__66_files[[#This Row],[Study ID_1]],'Coded Segments'!$D$2:$D$913,SLR_Covidence_Data_Extraction__66_files[[#Headers],[Attitude (ATT) &gt; ATT_Positive]])</f>
        <v>2</v>
      </c>
      <c r="AN7" s="37">
        <f>+COUNTIFS('Coded Segments'!$C$2:$C$913,SLR_Covidence_Data_Extraction__66_files[[#This Row],[Study ID_1]],'Coded Segments'!$D$2:$D$913,SLR_Covidence_Data_Extraction__66_files[[#Headers],[Ethical Concerns (EC) &gt; EC_Bias]])</f>
        <v>0</v>
      </c>
      <c r="AO7" s="37">
        <f>+COUNTIFS('Coded Segments'!$C$2:$C$913,SLR_Covidence_Data_Extraction__66_files[[#This Row],[Study ID_1]],'Coded Segments'!$D$2:$D$913,SLR_Covidence_Data_Extraction__66_files[[#Headers],[Ethical Concerns (EC) &gt; EC_Copyright]])</f>
        <v>0</v>
      </c>
      <c r="AP7" s="37">
        <f>+COUNTIFS('Coded Segments'!$C$2:$C$913,SLR_Covidence_Data_Extraction__66_files[[#This Row],[Study ID_1]],'Coded Segments'!$D$2:$D$913,SLR_Covidence_Data_Extraction__66_files[[#Headers],[Ethical Concerns (EC) &gt; EC_Data safety &amp; confidentiality]])</f>
        <v>0</v>
      </c>
      <c r="AQ7" s="37">
        <f>+COUNTIFS('Coded Segments'!$C$2:$C$913,SLR_Covidence_Data_Extraction__66_files[[#This Row],[Study ID_1]],'Coded Segments'!$D$2:$D$913,SLR_Covidence_Data_Extraction__66_files[[#Headers],[Ethical Concerns (EC) &gt; EC_Environmental sustainability]])</f>
        <v>0</v>
      </c>
      <c r="AR7" s="37">
        <f>+COUNTIFS('Coded Segments'!$C$2:$C$913,SLR_Covidence_Data_Extraction__66_files[[#This Row],[Study ID_1]],'Coded Segments'!$D$2:$D$913,SLR_Covidence_Data_Extraction__66_files[[#Headers],[Ethical Concerns (EC) &gt; EC_Payment]])</f>
        <v>0</v>
      </c>
      <c r="AS7" s="37">
        <f>+COUNTIFS('Coded Segments'!$C$2:$C$912,SLR_Covidence_Data_Extraction__66_files[[#This Row],[Study ID_1]],'Coded Segments'!$D$2:$D$912,SLR_Covidence_Data_Extraction__66_files[[#Headers],[Ethical Concerns (EC) &gt; EC_Quality]])</f>
        <v>6</v>
      </c>
      <c r="AT7" s="37">
        <f>+COUNTIFS('Coded Segments'!$C$2:$C$913,SLR_Covidence_Data_Extraction__66_files[[#This Row],[Study ID_1]],'Coded Segments'!$D$2:$D$913,SLR_Covidence_Data_Extraction__66_files[[#Headers],[Ethical Concerns (EC) &gt; EC_Translators’ role &amp; status]])</f>
        <v>0</v>
      </c>
      <c r="AU7" s="37">
        <f>+COUNTIFS('Coded Segments'!$C$2:$C$913,SLR_Covidence_Data_Extraction__66_files[[#This Row],[Study ID_1]],'Coded Segments'!$D$2:$D$913,SLR_Covidence_Data_Extraction__66_files[[#Headers],[Ethical Concerns (EC) &gt; EC_Other]])</f>
        <v>0</v>
      </c>
      <c r="AV7" s="37">
        <f>+COUNTIFS('Coded Segments'!$C$2:$C$913,SLR_Covidence_Data_Extraction__66_files[[#This Row],[Study ID_1]],'Coded Segments'!$D$2:$D$913,SLR_Covidence_Data_Extraction__66_files[[#Headers],[Literacy (LIT) &gt; LIT_Generic]])</f>
        <v>0</v>
      </c>
      <c r="AW7" s="37">
        <f>+COUNTIFS('Coded Segments'!$C$2:$C$913,SLR_Covidence_Data_Extraction__66_files[[#This Row],[Study ID_1]],'Coded Segments'!$D$2:$D$913,SLR_Covidence_Data_Extraction__66_files[[#Headers],[Literacy (LIT) &gt; LIT_None ]])</f>
        <v>0</v>
      </c>
      <c r="AX7" s="37">
        <f>+COUNTIFS('Coded Segments'!$C$2:$C$913,SLR_Covidence_Data_Extraction__66_files[[#This Row],[Study ID_1]],'Coded Segments'!$D$2:$D$913,SLR_Covidence_Data_Extraction__66_files[[#Headers],[Literacy (LIT) &gt; LIT_Low ]])</f>
        <v>0</v>
      </c>
      <c r="AY7" s="37">
        <f>+COUNTIFS('Coded Segments'!$C$2:$C$913,SLR_Covidence_Data_Extraction__66_files[[#This Row],[Study ID_1]],'Coded Segments'!$D$2:$D$913,SLR_Covidence_Data_Extraction__66_files[[#Headers],[Literacy (LIT) &gt; LIT_High]])</f>
        <v>0</v>
      </c>
    </row>
    <row r="8" spans="1:51" x14ac:dyDescent="0.25">
      <c r="A8" s="37">
        <v>34</v>
      </c>
      <c r="B8" s="37" t="s">
        <v>487</v>
      </c>
      <c r="C8" s="37" t="s">
        <v>486</v>
      </c>
      <c r="D8" s="37" t="s">
        <v>488</v>
      </c>
      <c r="E8" s="37" t="s">
        <v>489</v>
      </c>
      <c r="F8" s="37" t="s">
        <v>490</v>
      </c>
      <c r="G8" s="37" t="s">
        <v>187</v>
      </c>
      <c r="H8" s="39" t="s">
        <v>865</v>
      </c>
      <c r="I8" s="39" t="str">
        <f>LEFT(SLR_Covidence_Data_Extraction__66_files[[#This Row],[Publication date]],4)</f>
        <v>2019</v>
      </c>
      <c r="J8" s="37" t="s">
        <v>770</v>
      </c>
      <c r="K8" s="37" t="s">
        <v>491</v>
      </c>
      <c r="L8" s="37" t="s">
        <v>1478</v>
      </c>
      <c r="P8" s="37" t="s">
        <v>189</v>
      </c>
      <c r="Q8" s="37" t="s">
        <v>73</v>
      </c>
      <c r="R8" s="37">
        <v>7</v>
      </c>
      <c r="S8" s="37" t="s">
        <v>492</v>
      </c>
      <c r="T8" s="37" t="s">
        <v>493</v>
      </c>
      <c r="U8" s="37" t="s">
        <v>31</v>
      </c>
      <c r="V8" s="37" t="s">
        <v>32</v>
      </c>
      <c r="X8" s="37" t="s">
        <v>26</v>
      </c>
      <c r="Y8" s="37" t="s">
        <v>494</v>
      </c>
      <c r="Z8" s="37" t="s">
        <v>136</v>
      </c>
      <c r="AA8" s="37" t="s">
        <v>1463</v>
      </c>
      <c r="AB8" s="38">
        <v>474</v>
      </c>
      <c r="AC8" s="37" t="s">
        <v>866</v>
      </c>
      <c r="AD8" s="37" t="s">
        <v>495</v>
      </c>
      <c r="AE8" s="37" t="s">
        <v>496</v>
      </c>
      <c r="AF8" s="37" t="s">
        <v>497</v>
      </c>
      <c r="AG8" s="37" t="s">
        <v>125</v>
      </c>
      <c r="AH8" s="37">
        <f>+COUNTIFS('Coded Segments'!$C$2:$C$913,SLR_Covidence_Data_Extraction__66_files[[#This Row],[Study ID_1]],'Coded Segments'!$D$2:$D$913,SLR_Covidence_Data_Extraction__66_files[[#Headers],[Adoption (AD) &gt; AD_High]])</f>
        <v>0</v>
      </c>
      <c r="AI8" s="37">
        <f>+COUNTIFS('Coded Segments'!$C$2:$C$913,SLR_Covidence_Data_Extraction__66_files[[#This Row],[Study ID_1]],'Coded Segments'!$D$2:$D$913,SLR_Covidence_Data_Extraction__66_files[[#Headers],[Adoption (AD) &gt; AD_Moderate]])</f>
        <v>0</v>
      </c>
      <c r="AJ8" s="37">
        <f>+COUNTIFS('Coded Segments'!$C$2:$C$913,SLR_Covidence_Data_Extraction__66_files[[#This Row],[Study ID_1]],'Coded Segments'!$D$2:$D$913,SLR_Covidence_Data_Extraction__66_files[[#Headers],[Adoption (AD) &gt; AD_Low]])</f>
        <v>0</v>
      </c>
      <c r="AK8" s="37">
        <f>+COUNTIFS('Coded Segments'!$C$2:$C$913,SLR_Covidence_Data_Extraction__66_files[[#This Row],[Study ID_1]],'Coded Segments'!$D$2:$D$913,SLR_Covidence_Data_Extraction__66_files[[#Headers],[Adoption (AD) &gt; AD_None]])</f>
        <v>0</v>
      </c>
      <c r="AL8" s="37">
        <f>+COUNTIFS('Coded Segments'!$C$2:$C$913,SLR_Covidence_Data_Extraction__66_files[[#This Row],[Study ID_1]],'Coded Segments'!$D$2:$D$913,SLR_Covidence_Data_Extraction__66_files[[#Headers],[Attitude (ATT) &gt; ATT_Negative]])</f>
        <v>4</v>
      </c>
      <c r="AM8" s="37">
        <f>+COUNTIFS('Coded Segments'!$C$2:$C$913,SLR_Covidence_Data_Extraction__66_files[[#This Row],[Study ID_1]],'Coded Segments'!$D$2:$D$913,SLR_Covidence_Data_Extraction__66_files[[#Headers],[Attitude (ATT) &gt; ATT_Positive]])</f>
        <v>4</v>
      </c>
      <c r="AN8" s="37">
        <f>+COUNTIFS('Coded Segments'!$C$2:$C$913,SLR_Covidence_Data_Extraction__66_files[[#This Row],[Study ID_1]],'Coded Segments'!$D$2:$D$913,SLR_Covidence_Data_Extraction__66_files[[#Headers],[Ethical Concerns (EC) &gt; EC_Bias]])</f>
        <v>0</v>
      </c>
      <c r="AO8" s="37">
        <f>+COUNTIFS('Coded Segments'!$C$2:$C$913,SLR_Covidence_Data_Extraction__66_files[[#This Row],[Study ID_1]],'Coded Segments'!$D$2:$D$913,SLR_Covidence_Data_Extraction__66_files[[#Headers],[Ethical Concerns (EC) &gt; EC_Copyright]])</f>
        <v>0</v>
      </c>
      <c r="AP8" s="37">
        <f>+COUNTIFS('Coded Segments'!$C$2:$C$913,SLR_Covidence_Data_Extraction__66_files[[#This Row],[Study ID_1]],'Coded Segments'!$D$2:$D$913,SLR_Covidence_Data_Extraction__66_files[[#Headers],[Ethical Concerns (EC) &gt; EC_Data safety &amp; confidentiality]])</f>
        <v>0</v>
      </c>
      <c r="AQ8" s="37">
        <f>+COUNTIFS('Coded Segments'!$C$2:$C$913,SLR_Covidence_Data_Extraction__66_files[[#This Row],[Study ID_1]],'Coded Segments'!$D$2:$D$913,SLR_Covidence_Data_Extraction__66_files[[#Headers],[Ethical Concerns (EC) &gt; EC_Environmental sustainability]])</f>
        <v>0</v>
      </c>
      <c r="AR8" s="37">
        <f>+COUNTIFS('Coded Segments'!$C$2:$C$913,SLR_Covidence_Data_Extraction__66_files[[#This Row],[Study ID_1]],'Coded Segments'!$D$2:$D$913,SLR_Covidence_Data_Extraction__66_files[[#Headers],[Ethical Concerns (EC) &gt; EC_Payment]])</f>
        <v>2</v>
      </c>
      <c r="AS8" s="37">
        <f>+COUNTIFS('Coded Segments'!$C$2:$C$912,SLR_Covidence_Data_Extraction__66_files[[#This Row],[Study ID_1]],'Coded Segments'!$D$2:$D$912,SLR_Covidence_Data_Extraction__66_files[[#Headers],[Ethical Concerns (EC) &gt; EC_Quality]])</f>
        <v>0</v>
      </c>
      <c r="AT8" s="37">
        <f>+COUNTIFS('Coded Segments'!$C$2:$C$913,SLR_Covidence_Data_Extraction__66_files[[#This Row],[Study ID_1]],'Coded Segments'!$D$2:$D$913,SLR_Covidence_Data_Extraction__66_files[[#Headers],[Ethical Concerns (EC) &gt; EC_Translators’ role &amp; status]])</f>
        <v>0</v>
      </c>
      <c r="AU8" s="37">
        <f>+COUNTIFS('Coded Segments'!$C$2:$C$913,SLR_Covidence_Data_Extraction__66_files[[#This Row],[Study ID_1]],'Coded Segments'!$D$2:$D$913,SLR_Covidence_Data_Extraction__66_files[[#Headers],[Ethical Concerns (EC) &gt; EC_Other]])</f>
        <v>0</v>
      </c>
      <c r="AV8" s="37">
        <f>+COUNTIFS('Coded Segments'!$C$2:$C$913,SLR_Covidence_Data_Extraction__66_files[[#This Row],[Study ID_1]],'Coded Segments'!$D$2:$D$913,SLR_Covidence_Data_Extraction__66_files[[#Headers],[Literacy (LIT) &gt; LIT_Generic]])</f>
        <v>0</v>
      </c>
      <c r="AW8" s="37">
        <f>+COUNTIFS('Coded Segments'!$C$2:$C$913,SLR_Covidence_Data_Extraction__66_files[[#This Row],[Study ID_1]],'Coded Segments'!$D$2:$D$913,SLR_Covidence_Data_Extraction__66_files[[#Headers],[Literacy (LIT) &gt; LIT_None ]])</f>
        <v>0</v>
      </c>
      <c r="AX8" s="37">
        <f>+COUNTIFS('Coded Segments'!$C$2:$C$913,SLR_Covidence_Data_Extraction__66_files[[#This Row],[Study ID_1]],'Coded Segments'!$D$2:$D$913,SLR_Covidence_Data_Extraction__66_files[[#Headers],[Literacy (LIT) &gt; LIT_Low ]])</f>
        <v>0</v>
      </c>
      <c r="AY8" s="37">
        <f>+COUNTIFS('Coded Segments'!$C$2:$C$913,SLR_Covidence_Data_Extraction__66_files[[#This Row],[Study ID_1]],'Coded Segments'!$D$2:$D$913,SLR_Covidence_Data_Extraction__66_files[[#Headers],[Literacy (LIT) &gt; LIT_High]])</f>
        <v>0</v>
      </c>
    </row>
    <row r="9" spans="1:51" x14ac:dyDescent="0.25">
      <c r="A9" s="37">
        <v>8</v>
      </c>
      <c r="B9" s="37" t="s">
        <v>703</v>
      </c>
      <c r="C9" s="37" t="s">
        <v>702</v>
      </c>
      <c r="D9" s="37" t="s">
        <v>704</v>
      </c>
      <c r="E9" s="37" t="s">
        <v>705</v>
      </c>
      <c r="F9" s="37" t="s">
        <v>706</v>
      </c>
      <c r="G9" s="37" t="s">
        <v>772</v>
      </c>
      <c r="H9" s="39" t="s">
        <v>897</v>
      </c>
      <c r="I9" s="39" t="str">
        <f>LEFT(SLR_Covidence_Data_Extraction__66_files[[#This Row],[Publication date]],4)</f>
        <v>2019</v>
      </c>
      <c r="J9" s="37" t="s">
        <v>772</v>
      </c>
      <c r="K9" s="37" t="s">
        <v>707</v>
      </c>
      <c r="L9" s="37" t="s">
        <v>1478</v>
      </c>
      <c r="P9" s="37" t="s">
        <v>708</v>
      </c>
      <c r="Q9" s="37" t="s">
        <v>190</v>
      </c>
      <c r="R9" s="37">
        <v>34</v>
      </c>
      <c r="S9" s="37" t="s">
        <v>26</v>
      </c>
      <c r="T9" s="37" t="s">
        <v>26</v>
      </c>
      <c r="U9" s="37" t="s">
        <v>709</v>
      </c>
      <c r="V9" s="37" t="s">
        <v>32</v>
      </c>
      <c r="X9" s="37" t="s">
        <v>26</v>
      </c>
      <c r="Y9" s="37" t="s">
        <v>710</v>
      </c>
      <c r="Z9" s="37" t="s">
        <v>136</v>
      </c>
      <c r="AA9" s="37" t="s">
        <v>1463</v>
      </c>
      <c r="AB9" s="38"/>
      <c r="AC9" s="37" t="s">
        <v>26</v>
      </c>
      <c r="AD9" s="37" t="s">
        <v>711</v>
      </c>
      <c r="AE9" s="37" t="s">
        <v>712</v>
      </c>
      <c r="AF9" s="37" t="s">
        <v>713</v>
      </c>
      <c r="AG9" s="37" t="s">
        <v>359</v>
      </c>
      <c r="AH9" s="37">
        <f>+COUNTIFS('Coded Segments'!$C$2:$C$913,SLR_Covidence_Data_Extraction__66_files[[#This Row],[Study ID_1]],'Coded Segments'!$D$2:$D$913,SLR_Covidence_Data_Extraction__66_files[[#Headers],[Adoption (AD) &gt; AD_High]])</f>
        <v>0</v>
      </c>
      <c r="AI9" s="37">
        <f>+COUNTIFS('Coded Segments'!$C$2:$C$913,SLR_Covidence_Data_Extraction__66_files[[#This Row],[Study ID_1]],'Coded Segments'!$D$2:$D$913,SLR_Covidence_Data_Extraction__66_files[[#Headers],[Adoption (AD) &gt; AD_Moderate]])</f>
        <v>0</v>
      </c>
      <c r="AJ9" s="37">
        <f>+COUNTIFS('Coded Segments'!$C$2:$C$913,SLR_Covidence_Data_Extraction__66_files[[#This Row],[Study ID_1]],'Coded Segments'!$D$2:$D$913,SLR_Covidence_Data_Extraction__66_files[[#Headers],[Adoption (AD) &gt; AD_Low]])</f>
        <v>1</v>
      </c>
      <c r="AK9" s="37">
        <f>+COUNTIFS('Coded Segments'!$C$2:$C$913,SLR_Covidence_Data_Extraction__66_files[[#This Row],[Study ID_1]],'Coded Segments'!$D$2:$D$913,SLR_Covidence_Data_Extraction__66_files[[#Headers],[Adoption (AD) &gt; AD_None]])</f>
        <v>0</v>
      </c>
      <c r="AL9" s="37">
        <f>+COUNTIFS('Coded Segments'!$C$2:$C$913,SLR_Covidence_Data_Extraction__66_files[[#This Row],[Study ID_1]],'Coded Segments'!$D$2:$D$913,SLR_Covidence_Data_Extraction__66_files[[#Headers],[Attitude (ATT) &gt; ATT_Negative]])</f>
        <v>2</v>
      </c>
      <c r="AM9" s="37">
        <f>+COUNTIFS('Coded Segments'!$C$2:$C$913,SLR_Covidence_Data_Extraction__66_files[[#This Row],[Study ID_1]],'Coded Segments'!$D$2:$D$913,SLR_Covidence_Data_Extraction__66_files[[#Headers],[Attitude (ATT) &gt; ATT_Positive]])</f>
        <v>5</v>
      </c>
      <c r="AN9" s="37">
        <f>+COUNTIFS('Coded Segments'!$C$2:$C$913,SLR_Covidence_Data_Extraction__66_files[[#This Row],[Study ID_1]],'Coded Segments'!$D$2:$D$913,SLR_Covidence_Data_Extraction__66_files[[#Headers],[Ethical Concerns (EC) &gt; EC_Bias]])</f>
        <v>0</v>
      </c>
      <c r="AO9" s="37">
        <f>+COUNTIFS('Coded Segments'!$C$2:$C$913,SLR_Covidence_Data_Extraction__66_files[[#This Row],[Study ID_1]],'Coded Segments'!$D$2:$D$913,SLR_Covidence_Data_Extraction__66_files[[#Headers],[Ethical Concerns (EC) &gt; EC_Copyright]])</f>
        <v>0</v>
      </c>
      <c r="AP9" s="37">
        <f>+COUNTIFS('Coded Segments'!$C$2:$C$913,SLR_Covidence_Data_Extraction__66_files[[#This Row],[Study ID_1]],'Coded Segments'!$D$2:$D$913,SLR_Covidence_Data_Extraction__66_files[[#Headers],[Ethical Concerns (EC) &gt; EC_Data safety &amp; confidentiality]])</f>
        <v>0</v>
      </c>
      <c r="AQ9" s="37">
        <f>+COUNTIFS('Coded Segments'!$C$2:$C$913,SLR_Covidence_Data_Extraction__66_files[[#This Row],[Study ID_1]],'Coded Segments'!$D$2:$D$913,SLR_Covidence_Data_Extraction__66_files[[#Headers],[Ethical Concerns (EC) &gt; EC_Environmental sustainability]])</f>
        <v>0</v>
      </c>
      <c r="AR9" s="37">
        <f>+COUNTIFS('Coded Segments'!$C$2:$C$913,SLR_Covidence_Data_Extraction__66_files[[#This Row],[Study ID_1]],'Coded Segments'!$D$2:$D$913,SLR_Covidence_Data_Extraction__66_files[[#Headers],[Ethical Concerns (EC) &gt; EC_Payment]])</f>
        <v>0</v>
      </c>
      <c r="AS9" s="37">
        <f>+COUNTIFS('Coded Segments'!$C$2:$C$912,SLR_Covidence_Data_Extraction__66_files[[#This Row],[Study ID_1]],'Coded Segments'!$D$2:$D$912,SLR_Covidence_Data_Extraction__66_files[[#Headers],[Ethical Concerns (EC) &gt; EC_Quality]])</f>
        <v>0</v>
      </c>
      <c r="AT9" s="37">
        <f>+COUNTIFS('Coded Segments'!$C$2:$C$913,SLR_Covidence_Data_Extraction__66_files[[#This Row],[Study ID_1]],'Coded Segments'!$D$2:$D$913,SLR_Covidence_Data_Extraction__66_files[[#Headers],[Ethical Concerns (EC) &gt; EC_Translators’ role &amp; status]])</f>
        <v>1</v>
      </c>
      <c r="AU9" s="37">
        <f>+COUNTIFS('Coded Segments'!$C$2:$C$913,SLR_Covidence_Data_Extraction__66_files[[#This Row],[Study ID_1]],'Coded Segments'!$D$2:$D$913,SLR_Covidence_Data_Extraction__66_files[[#Headers],[Ethical Concerns (EC) &gt; EC_Other]])</f>
        <v>0</v>
      </c>
      <c r="AV9" s="37">
        <f>+COUNTIFS('Coded Segments'!$C$2:$C$913,SLR_Covidence_Data_Extraction__66_files[[#This Row],[Study ID_1]],'Coded Segments'!$D$2:$D$913,SLR_Covidence_Data_Extraction__66_files[[#Headers],[Literacy (LIT) &gt; LIT_Generic]])</f>
        <v>0</v>
      </c>
      <c r="AW9" s="37">
        <f>+COUNTIFS('Coded Segments'!$C$2:$C$913,SLR_Covidence_Data_Extraction__66_files[[#This Row],[Study ID_1]],'Coded Segments'!$D$2:$D$913,SLR_Covidence_Data_Extraction__66_files[[#Headers],[Literacy (LIT) &gt; LIT_None ]])</f>
        <v>1</v>
      </c>
      <c r="AX9" s="37">
        <f>+COUNTIFS('Coded Segments'!$C$2:$C$913,SLR_Covidence_Data_Extraction__66_files[[#This Row],[Study ID_1]],'Coded Segments'!$D$2:$D$913,SLR_Covidence_Data_Extraction__66_files[[#Headers],[Literacy (LIT) &gt; LIT_Low ]])</f>
        <v>0</v>
      </c>
      <c r="AY9" s="37">
        <f>+COUNTIFS('Coded Segments'!$C$2:$C$913,SLR_Covidence_Data_Extraction__66_files[[#This Row],[Study ID_1]],'Coded Segments'!$D$2:$D$913,SLR_Covidence_Data_Extraction__66_files[[#Headers],[Literacy (LIT) &gt; LIT_High]])</f>
        <v>0</v>
      </c>
    </row>
    <row r="10" spans="1:51" x14ac:dyDescent="0.25">
      <c r="A10" s="37">
        <v>25</v>
      </c>
      <c r="B10" s="37" t="s">
        <v>553</v>
      </c>
      <c r="C10" s="37" t="s">
        <v>551</v>
      </c>
      <c r="D10" s="37" t="s">
        <v>552</v>
      </c>
      <c r="E10" s="37" t="s">
        <v>554</v>
      </c>
      <c r="F10" s="37" t="s">
        <v>555</v>
      </c>
      <c r="G10" s="37" t="s">
        <v>771</v>
      </c>
      <c r="H10" s="39" t="s">
        <v>29</v>
      </c>
      <c r="I10" s="39" t="str">
        <f>LEFT(SLR_Covidence_Data_Extraction__66_files[[#This Row],[Publication date]],4)</f>
        <v>2019</v>
      </c>
      <c r="J10" s="37" t="s">
        <v>556</v>
      </c>
      <c r="K10" s="37" t="s">
        <v>557</v>
      </c>
      <c r="N10" s="37" t="s">
        <v>1480</v>
      </c>
      <c r="P10" s="37" t="s">
        <v>26</v>
      </c>
      <c r="Q10" s="37" t="s">
        <v>26</v>
      </c>
      <c r="S10" s="37" t="s">
        <v>558</v>
      </c>
      <c r="T10" s="37" t="s">
        <v>437</v>
      </c>
      <c r="U10" s="37" t="s">
        <v>559</v>
      </c>
      <c r="W10" s="37" t="s">
        <v>148</v>
      </c>
      <c r="X10" s="37" t="s">
        <v>26</v>
      </c>
      <c r="Y10" s="37" t="s">
        <v>560</v>
      </c>
      <c r="Z10" s="37" t="s">
        <v>136</v>
      </c>
      <c r="AA10" s="37" t="s">
        <v>1470</v>
      </c>
      <c r="AB10" s="38">
        <v>38</v>
      </c>
      <c r="AC10" s="37" t="s">
        <v>873</v>
      </c>
      <c r="AD10" s="37" t="s">
        <v>561</v>
      </c>
      <c r="AE10" s="37" t="s">
        <v>562</v>
      </c>
      <c r="AF10" s="37" t="s">
        <v>563</v>
      </c>
      <c r="AG10" s="37" t="s">
        <v>180</v>
      </c>
      <c r="AH10" s="37">
        <f>+COUNTIFS('Coded Segments'!$C$2:$C$913,SLR_Covidence_Data_Extraction__66_files[[#This Row],[Study ID_1]],'Coded Segments'!$D$2:$D$913,SLR_Covidence_Data_Extraction__66_files[[#Headers],[Adoption (AD) &gt; AD_High]])</f>
        <v>1</v>
      </c>
      <c r="AI10" s="37">
        <f>+COUNTIFS('Coded Segments'!$C$2:$C$913,SLR_Covidence_Data_Extraction__66_files[[#This Row],[Study ID_1]],'Coded Segments'!$D$2:$D$913,SLR_Covidence_Data_Extraction__66_files[[#Headers],[Adoption (AD) &gt; AD_Moderate]])</f>
        <v>0</v>
      </c>
      <c r="AJ10" s="37">
        <f>+COUNTIFS('Coded Segments'!$C$2:$C$913,SLR_Covidence_Data_Extraction__66_files[[#This Row],[Study ID_1]],'Coded Segments'!$D$2:$D$913,SLR_Covidence_Data_Extraction__66_files[[#Headers],[Adoption (AD) &gt; AD_Low]])</f>
        <v>0</v>
      </c>
      <c r="AK10" s="37">
        <f>+COUNTIFS('Coded Segments'!$C$2:$C$913,SLR_Covidence_Data_Extraction__66_files[[#This Row],[Study ID_1]],'Coded Segments'!$D$2:$D$913,SLR_Covidence_Data_Extraction__66_files[[#Headers],[Adoption (AD) &gt; AD_None]])</f>
        <v>0</v>
      </c>
      <c r="AL10" s="37">
        <f>+COUNTIFS('Coded Segments'!$C$2:$C$913,SLR_Covidence_Data_Extraction__66_files[[#This Row],[Study ID_1]],'Coded Segments'!$D$2:$D$913,SLR_Covidence_Data_Extraction__66_files[[#Headers],[Attitude (ATT) &gt; ATT_Negative]])</f>
        <v>6</v>
      </c>
      <c r="AM10" s="37">
        <f>+COUNTIFS('Coded Segments'!$C$2:$C$913,SLR_Covidence_Data_Extraction__66_files[[#This Row],[Study ID_1]],'Coded Segments'!$D$2:$D$913,SLR_Covidence_Data_Extraction__66_files[[#Headers],[Attitude (ATT) &gt; ATT_Positive]])</f>
        <v>1</v>
      </c>
      <c r="AN10" s="37">
        <f>+COUNTIFS('Coded Segments'!$C$2:$C$913,SLR_Covidence_Data_Extraction__66_files[[#This Row],[Study ID_1]],'Coded Segments'!$D$2:$D$913,SLR_Covidence_Data_Extraction__66_files[[#Headers],[Ethical Concerns (EC) &gt; EC_Bias]])</f>
        <v>0</v>
      </c>
      <c r="AO10" s="37">
        <f>+COUNTIFS('Coded Segments'!$C$2:$C$913,SLR_Covidence_Data_Extraction__66_files[[#This Row],[Study ID_1]],'Coded Segments'!$D$2:$D$913,SLR_Covidence_Data_Extraction__66_files[[#Headers],[Ethical Concerns (EC) &gt; EC_Copyright]])</f>
        <v>0</v>
      </c>
      <c r="AP10" s="37">
        <f>+COUNTIFS('Coded Segments'!$C$2:$C$913,SLR_Covidence_Data_Extraction__66_files[[#This Row],[Study ID_1]],'Coded Segments'!$D$2:$D$913,SLR_Covidence_Data_Extraction__66_files[[#Headers],[Ethical Concerns (EC) &gt; EC_Data safety &amp; confidentiality]])</f>
        <v>0</v>
      </c>
      <c r="AQ10" s="37">
        <f>+COUNTIFS('Coded Segments'!$C$2:$C$913,SLR_Covidence_Data_Extraction__66_files[[#This Row],[Study ID_1]],'Coded Segments'!$D$2:$D$913,SLR_Covidence_Data_Extraction__66_files[[#Headers],[Ethical Concerns (EC) &gt; EC_Environmental sustainability]])</f>
        <v>0</v>
      </c>
      <c r="AR10" s="37">
        <f>+COUNTIFS('Coded Segments'!$C$2:$C$913,SLR_Covidence_Data_Extraction__66_files[[#This Row],[Study ID_1]],'Coded Segments'!$D$2:$D$913,SLR_Covidence_Data_Extraction__66_files[[#Headers],[Ethical Concerns (EC) &gt; EC_Payment]])</f>
        <v>0</v>
      </c>
      <c r="AS10" s="37">
        <f>+COUNTIFS('Coded Segments'!$C$2:$C$912,SLR_Covidence_Data_Extraction__66_files[[#This Row],[Study ID_1]],'Coded Segments'!$D$2:$D$912,SLR_Covidence_Data_Extraction__66_files[[#Headers],[Ethical Concerns (EC) &gt; EC_Quality]])</f>
        <v>6</v>
      </c>
      <c r="AT10" s="37">
        <f>+COUNTIFS('Coded Segments'!$C$2:$C$913,SLR_Covidence_Data_Extraction__66_files[[#This Row],[Study ID_1]],'Coded Segments'!$D$2:$D$913,SLR_Covidence_Data_Extraction__66_files[[#Headers],[Ethical Concerns (EC) &gt; EC_Translators’ role &amp; status]])</f>
        <v>0</v>
      </c>
      <c r="AU10" s="37">
        <f>+COUNTIFS('Coded Segments'!$C$2:$C$913,SLR_Covidence_Data_Extraction__66_files[[#This Row],[Study ID_1]],'Coded Segments'!$D$2:$D$913,SLR_Covidence_Data_Extraction__66_files[[#Headers],[Ethical Concerns (EC) &gt; EC_Other]])</f>
        <v>0</v>
      </c>
      <c r="AV10" s="37">
        <f>+COUNTIFS('Coded Segments'!$C$2:$C$913,SLR_Covidence_Data_Extraction__66_files[[#This Row],[Study ID_1]],'Coded Segments'!$D$2:$D$913,SLR_Covidence_Data_Extraction__66_files[[#Headers],[Literacy (LIT) &gt; LIT_Generic]])</f>
        <v>0</v>
      </c>
      <c r="AW10" s="37">
        <f>+COUNTIFS('Coded Segments'!$C$2:$C$913,SLR_Covidence_Data_Extraction__66_files[[#This Row],[Study ID_1]],'Coded Segments'!$D$2:$D$913,SLR_Covidence_Data_Extraction__66_files[[#Headers],[Literacy (LIT) &gt; LIT_None ]])</f>
        <v>0</v>
      </c>
      <c r="AX10" s="37">
        <f>+COUNTIFS('Coded Segments'!$C$2:$C$913,SLR_Covidence_Data_Extraction__66_files[[#This Row],[Study ID_1]],'Coded Segments'!$D$2:$D$913,SLR_Covidence_Data_Extraction__66_files[[#Headers],[Literacy (LIT) &gt; LIT_Low ]])</f>
        <v>0</v>
      </c>
      <c r="AY10" s="37">
        <f>+COUNTIFS('Coded Segments'!$C$2:$C$913,SLR_Covidence_Data_Extraction__66_files[[#This Row],[Study ID_1]],'Coded Segments'!$D$2:$D$913,SLR_Covidence_Data_Extraction__66_files[[#Headers],[Literacy (LIT) &gt; LIT_High]])</f>
        <v>0</v>
      </c>
    </row>
    <row r="11" spans="1:51" x14ac:dyDescent="0.25">
      <c r="A11" s="37">
        <v>30</v>
      </c>
      <c r="B11" s="37" t="s">
        <v>522</v>
      </c>
      <c r="C11" s="37" t="s">
        <v>521</v>
      </c>
      <c r="D11" s="37" t="s">
        <v>523</v>
      </c>
      <c r="E11" s="37" t="s">
        <v>524</v>
      </c>
      <c r="F11" s="37" t="s">
        <v>525</v>
      </c>
      <c r="G11" s="37" t="s">
        <v>783</v>
      </c>
      <c r="H11" s="39" t="s">
        <v>870</v>
      </c>
      <c r="I11" s="39" t="str">
        <f>LEFT(SLR_Covidence_Data_Extraction__66_files[[#This Row],[Publication date]],4)</f>
        <v>2019</v>
      </c>
      <c r="J11" s="37" t="s">
        <v>769</v>
      </c>
      <c r="K11" s="37" t="s">
        <v>526</v>
      </c>
      <c r="L11" s="37" t="s">
        <v>1478</v>
      </c>
      <c r="P11" s="37" t="s">
        <v>26</v>
      </c>
      <c r="Q11" s="37" t="s">
        <v>26</v>
      </c>
      <c r="S11" s="37" t="s">
        <v>527</v>
      </c>
      <c r="T11" s="37" t="s">
        <v>479</v>
      </c>
      <c r="U11" s="37" t="s">
        <v>31</v>
      </c>
      <c r="V11" s="37" t="s">
        <v>32</v>
      </c>
      <c r="X11" s="37" t="s">
        <v>26</v>
      </c>
      <c r="Y11" s="37" t="s">
        <v>528</v>
      </c>
      <c r="Z11" s="37" t="s">
        <v>136</v>
      </c>
      <c r="AA11" s="37" t="s">
        <v>1463</v>
      </c>
      <c r="AB11" s="38">
        <v>188</v>
      </c>
      <c r="AC11" s="37" t="s">
        <v>835</v>
      </c>
      <c r="AD11" s="37" t="s">
        <v>529</v>
      </c>
      <c r="AE11" s="37" t="s">
        <v>530</v>
      </c>
      <c r="AF11" s="37" t="s">
        <v>1675</v>
      </c>
      <c r="AG11" s="37" t="s">
        <v>292</v>
      </c>
      <c r="AH11" s="37">
        <f>+COUNTIFS('Coded Segments'!$C$2:$C$913,SLR_Covidence_Data_Extraction__66_files[[#This Row],[Study ID_1]],'Coded Segments'!$D$2:$D$913,SLR_Covidence_Data_Extraction__66_files[[#Headers],[Adoption (AD) &gt; AD_High]])</f>
        <v>0</v>
      </c>
      <c r="AI11" s="37">
        <f>+COUNTIFS('Coded Segments'!$C$2:$C$913,SLR_Covidence_Data_Extraction__66_files[[#This Row],[Study ID_1]],'Coded Segments'!$D$2:$D$913,SLR_Covidence_Data_Extraction__66_files[[#Headers],[Adoption (AD) &gt; AD_Moderate]])</f>
        <v>0</v>
      </c>
      <c r="AJ11" s="37">
        <f>+COUNTIFS('Coded Segments'!$C$2:$C$913,SLR_Covidence_Data_Extraction__66_files[[#This Row],[Study ID_1]],'Coded Segments'!$D$2:$D$913,SLR_Covidence_Data_Extraction__66_files[[#Headers],[Adoption (AD) &gt; AD_Low]])</f>
        <v>1</v>
      </c>
      <c r="AK11" s="37">
        <f>+COUNTIFS('Coded Segments'!$C$2:$C$913,SLR_Covidence_Data_Extraction__66_files[[#This Row],[Study ID_1]],'Coded Segments'!$D$2:$D$913,SLR_Covidence_Data_Extraction__66_files[[#Headers],[Adoption (AD) &gt; AD_None]])</f>
        <v>0</v>
      </c>
      <c r="AL11" s="37">
        <f>+COUNTIFS('Coded Segments'!$C$2:$C$913,SLR_Covidence_Data_Extraction__66_files[[#This Row],[Study ID_1]],'Coded Segments'!$D$2:$D$913,SLR_Covidence_Data_Extraction__66_files[[#Headers],[Attitude (ATT) &gt; ATT_Negative]])</f>
        <v>2</v>
      </c>
      <c r="AM11" s="37">
        <f>+COUNTIFS('Coded Segments'!$C$2:$C$913,SLR_Covidence_Data_Extraction__66_files[[#This Row],[Study ID_1]],'Coded Segments'!$D$2:$D$913,SLR_Covidence_Data_Extraction__66_files[[#Headers],[Attitude (ATT) &gt; ATT_Positive]])</f>
        <v>0</v>
      </c>
      <c r="AN11" s="37">
        <f>+COUNTIFS('Coded Segments'!$C$2:$C$913,SLR_Covidence_Data_Extraction__66_files[[#This Row],[Study ID_1]],'Coded Segments'!$D$2:$D$913,SLR_Covidence_Data_Extraction__66_files[[#Headers],[Ethical Concerns (EC) &gt; EC_Bias]])</f>
        <v>0</v>
      </c>
      <c r="AO11" s="37">
        <f>+COUNTIFS('Coded Segments'!$C$2:$C$913,SLR_Covidence_Data_Extraction__66_files[[#This Row],[Study ID_1]],'Coded Segments'!$D$2:$D$913,SLR_Covidence_Data_Extraction__66_files[[#Headers],[Ethical Concerns (EC) &gt; EC_Copyright]])</f>
        <v>0</v>
      </c>
      <c r="AP11" s="37">
        <f>+COUNTIFS('Coded Segments'!$C$2:$C$913,SLR_Covidence_Data_Extraction__66_files[[#This Row],[Study ID_1]],'Coded Segments'!$D$2:$D$913,SLR_Covidence_Data_Extraction__66_files[[#Headers],[Ethical Concerns (EC) &gt; EC_Data safety &amp; confidentiality]])</f>
        <v>2</v>
      </c>
      <c r="AQ11" s="37">
        <f>+COUNTIFS('Coded Segments'!$C$2:$C$913,SLR_Covidence_Data_Extraction__66_files[[#This Row],[Study ID_1]],'Coded Segments'!$D$2:$D$913,SLR_Covidence_Data_Extraction__66_files[[#Headers],[Ethical Concerns (EC) &gt; EC_Environmental sustainability]])</f>
        <v>0</v>
      </c>
      <c r="AR11" s="37">
        <f>+COUNTIFS('Coded Segments'!$C$2:$C$913,SLR_Covidence_Data_Extraction__66_files[[#This Row],[Study ID_1]],'Coded Segments'!$D$2:$D$913,SLR_Covidence_Data_Extraction__66_files[[#Headers],[Ethical Concerns (EC) &gt; EC_Payment]])</f>
        <v>0</v>
      </c>
      <c r="AS11" s="37">
        <f>+COUNTIFS('Coded Segments'!$C$2:$C$912,SLR_Covidence_Data_Extraction__66_files[[#This Row],[Study ID_1]],'Coded Segments'!$D$2:$D$912,SLR_Covidence_Data_Extraction__66_files[[#Headers],[Ethical Concerns (EC) &gt; EC_Quality]])</f>
        <v>0</v>
      </c>
      <c r="AT11" s="37">
        <f>+COUNTIFS('Coded Segments'!$C$2:$C$913,SLR_Covidence_Data_Extraction__66_files[[#This Row],[Study ID_1]],'Coded Segments'!$D$2:$D$913,SLR_Covidence_Data_Extraction__66_files[[#Headers],[Ethical Concerns (EC) &gt; EC_Translators’ role &amp; status]])</f>
        <v>0</v>
      </c>
      <c r="AU11" s="37">
        <f>+COUNTIFS('Coded Segments'!$C$2:$C$913,SLR_Covidence_Data_Extraction__66_files[[#This Row],[Study ID_1]],'Coded Segments'!$D$2:$D$913,SLR_Covidence_Data_Extraction__66_files[[#Headers],[Ethical Concerns (EC) &gt; EC_Other]])</f>
        <v>0</v>
      </c>
      <c r="AV11" s="37">
        <f>+COUNTIFS('Coded Segments'!$C$2:$C$913,SLR_Covidence_Data_Extraction__66_files[[#This Row],[Study ID_1]],'Coded Segments'!$D$2:$D$913,SLR_Covidence_Data_Extraction__66_files[[#Headers],[Literacy (LIT) &gt; LIT_Generic]])</f>
        <v>1</v>
      </c>
      <c r="AW11" s="37">
        <f>+COUNTIFS('Coded Segments'!$C$2:$C$913,SLR_Covidence_Data_Extraction__66_files[[#This Row],[Study ID_1]],'Coded Segments'!$D$2:$D$913,SLR_Covidence_Data_Extraction__66_files[[#Headers],[Literacy (LIT) &gt; LIT_None ]])</f>
        <v>0</v>
      </c>
      <c r="AX11" s="37">
        <f>+COUNTIFS('Coded Segments'!$C$2:$C$913,SLR_Covidence_Data_Extraction__66_files[[#This Row],[Study ID_1]],'Coded Segments'!$D$2:$D$913,SLR_Covidence_Data_Extraction__66_files[[#Headers],[Literacy (LIT) &gt; LIT_Low ]])</f>
        <v>0</v>
      </c>
      <c r="AY11" s="37">
        <f>+COUNTIFS('Coded Segments'!$C$2:$C$913,SLR_Covidence_Data_Extraction__66_files[[#This Row],[Study ID_1]],'Coded Segments'!$D$2:$D$913,SLR_Covidence_Data_Extraction__66_files[[#Headers],[Literacy (LIT) &gt; LIT_High]])</f>
        <v>0</v>
      </c>
    </row>
    <row r="12" spans="1:51" x14ac:dyDescent="0.25">
      <c r="A12" s="37">
        <v>61</v>
      </c>
      <c r="B12" s="37" t="s">
        <v>258</v>
      </c>
      <c r="C12" s="37" t="s">
        <v>256</v>
      </c>
      <c r="D12" s="37" t="s">
        <v>257</v>
      </c>
      <c r="E12" s="37" t="s">
        <v>259</v>
      </c>
      <c r="F12" s="37" t="s">
        <v>260</v>
      </c>
      <c r="G12" s="37" t="s">
        <v>261</v>
      </c>
      <c r="H12" s="39" t="s">
        <v>836</v>
      </c>
      <c r="I12" s="39" t="str">
        <f>LEFT(SLR_Covidence_Data_Extraction__66_files[[#This Row],[Publication date]],4)</f>
        <v>2019</v>
      </c>
      <c r="J12" s="37" t="s">
        <v>261</v>
      </c>
      <c r="K12" s="37" t="s">
        <v>262</v>
      </c>
      <c r="L12" s="37" t="s">
        <v>1478</v>
      </c>
      <c r="P12" s="37" t="s">
        <v>28</v>
      </c>
      <c r="Q12" s="37" t="s">
        <v>28</v>
      </c>
      <c r="R12" s="37">
        <v>15</v>
      </c>
      <c r="S12" s="37" t="s">
        <v>26</v>
      </c>
      <c r="T12" s="37" t="s">
        <v>26</v>
      </c>
      <c r="U12" s="37" t="s">
        <v>31</v>
      </c>
      <c r="V12" s="37" t="s">
        <v>32</v>
      </c>
      <c r="X12" s="37" t="s">
        <v>264</v>
      </c>
      <c r="Y12" s="37" t="s">
        <v>265</v>
      </c>
      <c r="Z12" s="37" t="s">
        <v>136</v>
      </c>
      <c r="AA12" s="37" t="s">
        <v>1464</v>
      </c>
      <c r="AB12" s="38">
        <v>40</v>
      </c>
      <c r="AC12" s="37" t="s">
        <v>808</v>
      </c>
      <c r="AD12" s="37" t="s">
        <v>266</v>
      </c>
      <c r="AE12" s="37" t="s">
        <v>267</v>
      </c>
      <c r="AF12" s="37" t="s">
        <v>268</v>
      </c>
      <c r="AG12" s="37" t="s">
        <v>269</v>
      </c>
      <c r="AH12" s="37">
        <f>+COUNTIFS('Coded Segments'!$C$2:$C$913,SLR_Covidence_Data_Extraction__66_files[[#This Row],[Study ID_1]],'Coded Segments'!$D$2:$D$913,SLR_Covidence_Data_Extraction__66_files[[#Headers],[Adoption (AD) &gt; AD_High]])</f>
        <v>0</v>
      </c>
      <c r="AI12" s="37">
        <f>+COUNTIFS('Coded Segments'!$C$2:$C$913,SLR_Covidence_Data_Extraction__66_files[[#This Row],[Study ID_1]],'Coded Segments'!$D$2:$D$913,SLR_Covidence_Data_Extraction__66_files[[#Headers],[Adoption (AD) &gt; AD_Moderate]])</f>
        <v>1</v>
      </c>
      <c r="AJ12" s="37">
        <f>+COUNTIFS('Coded Segments'!$C$2:$C$913,SLR_Covidence_Data_Extraction__66_files[[#This Row],[Study ID_1]],'Coded Segments'!$D$2:$D$913,SLR_Covidence_Data_Extraction__66_files[[#Headers],[Adoption (AD) &gt; AD_Low]])</f>
        <v>1</v>
      </c>
      <c r="AK12" s="37">
        <f>+COUNTIFS('Coded Segments'!$C$2:$C$913,SLR_Covidence_Data_Extraction__66_files[[#This Row],[Study ID_1]],'Coded Segments'!$D$2:$D$913,SLR_Covidence_Data_Extraction__66_files[[#Headers],[Adoption (AD) &gt; AD_None]])</f>
        <v>0</v>
      </c>
      <c r="AL12" s="37">
        <f>+COUNTIFS('Coded Segments'!$C$2:$C$913,SLR_Covidence_Data_Extraction__66_files[[#This Row],[Study ID_1]],'Coded Segments'!$D$2:$D$913,SLR_Covidence_Data_Extraction__66_files[[#Headers],[Attitude (ATT) &gt; ATT_Negative]])</f>
        <v>3</v>
      </c>
      <c r="AM12" s="37">
        <f>+COUNTIFS('Coded Segments'!$C$2:$C$913,SLR_Covidence_Data_Extraction__66_files[[#This Row],[Study ID_1]],'Coded Segments'!$D$2:$D$913,SLR_Covidence_Data_Extraction__66_files[[#Headers],[Attitude (ATT) &gt; ATT_Positive]])</f>
        <v>0</v>
      </c>
      <c r="AN12" s="37">
        <f>+COUNTIFS('Coded Segments'!$C$2:$C$913,SLR_Covidence_Data_Extraction__66_files[[#This Row],[Study ID_1]],'Coded Segments'!$D$2:$D$913,SLR_Covidence_Data_Extraction__66_files[[#Headers],[Ethical Concerns (EC) &gt; EC_Bias]])</f>
        <v>0</v>
      </c>
      <c r="AO12" s="37">
        <f>+COUNTIFS('Coded Segments'!$C$2:$C$913,SLR_Covidence_Data_Extraction__66_files[[#This Row],[Study ID_1]],'Coded Segments'!$D$2:$D$913,SLR_Covidence_Data_Extraction__66_files[[#Headers],[Ethical Concerns (EC) &gt; EC_Copyright]])</f>
        <v>0</v>
      </c>
      <c r="AP12" s="37">
        <f>+COUNTIFS('Coded Segments'!$C$2:$C$913,SLR_Covidence_Data_Extraction__66_files[[#This Row],[Study ID_1]],'Coded Segments'!$D$2:$D$913,SLR_Covidence_Data_Extraction__66_files[[#Headers],[Ethical Concerns (EC) &gt; EC_Data safety &amp; confidentiality]])</f>
        <v>0</v>
      </c>
      <c r="AQ12" s="37">
        <f>+COUNTIFS('Coded Segments'!$C$2:$C$913,SLR_Covidence_Data_Extraction__66_files[[#This Row],[Study ID_1]],'Coded Segments'!$D$2:$D$913,SLR_Covidence_Data_Extraction__66_files[[#Headers],[Ethical Concerns (EC) &gt; EC_Environmental sustainability]])</f>
        <v>0</v>
      </c>
      <c r="AR12" s="37">
        <f>+COUNTIFS('Coded Segments'!$C$2:$C$913,SLR_Covidence_Data_Extraction__66_files[[#This Row],[Study ID_1]],'Coded Segments'!$D$2:$D$913,SLR_Covidence_Data_Extraction__66_files[[#Headers],[Ethical Concerns (EC) &gt; EC_Payment]])</f>
        <v>1</v>
      </c>
      <c r="AS12" s="37">
        <f>+COUNTIFS('Coded Segments'!$C$2:$C$912,SLR_Covidence_Data_Extraction__66_files[[#This Row],[Study ID_1]],'Coded Segments'!$D$2:$D$912,SLR_Covidence_Data_Extraction__66_files[[#Headers],[Ethical Concerns (EC) &gt; EC_Quality]])</f>
        <v>2</v>
      </c>
      <c r="AT12" s="37">
        <f>+COUNTIFS('Coded Segments'!$C$2:$C$913,SLR_Covidence_Data_Extraction__66_files[[#This Row],[Study ID_1]],'Coded Segments'!$D$2:$D$913,SLR_Covidence_Data_Extraction__66_files[[#Headers],[Ethical Concerns (EC) &gt; EC_Translators’ role &amp; status]])</f>
        <v>0</v>
      </c>
      <c r="AU12" s="37">
        <f>+COUNTIFS('Coded Segments'!$C$2:$C$913,SLR_Covidence_Data_Extraction__66_files[[#This Row],[Study ID_1]],'Coded Segments'!$D$2:$D$913,SLR_Covidence_Data_Extraction__66_files[[#Headers],[Ethical Concerns (EC) &gt; EC_Other]])</f>
        <v>0</v>
      </c>
      <c r="AV12" s="37">
        <f>+COUNTIFS('Coded Segments'!$C$2:$C$913,SLR_Covidence_Data_Extraction__66_files[[#This Row],[Study ID_1]],'Coded Segments'!$D$2:$D$913,SLR_Covidence_Data_Extraction__66_files[[#Headers],[Literacy (LIT) &gt; LIT_Generic]])</f>
        <v>1</v>
      </c>
      <c r="AW12" s="37">
        <f>+COUNTIFS('Coded Segments'!$C$2:$C$913,SLR_Covidence_Data_Extraction__66_files[[#This Row],[Study ID_1]],'Coded Segments'!$D$2:$D$913,SLR_Covidence_Data_Extraction__66_files[[#Headers],[Literacy (LIT) &gt; LIT_None ]])</f>
        <v>1</v>
      </c>
      <c r="AX12" s="37">
        <f>+COUNTIFS('Coded Segments'!$C$2:$C$913,SLR_Covidence_Data_Extraction__66_files[[#This Row],[Study ID_1]],'Coded Segments'!$D$2:$D$913,SLR_Covidence_Data_Extraction__66_files[[#Headers],[Literacy (LIT) &gt; LIT_Low ]])</f>
        <v>0</v>
      </c>
      <c r="AY12" s="37">
        <f>+COUNTIFS('Coded Segments'!$C$2:$C$913,SLR_Covidence_Data_Extraction__66_files[[#This Row],[Study ID_1]],'Coded Segments'!$D$2:$D$913,SLR_Covidence_Data_Extraction__66_files[[#Headers],[Literacy (LIT) &gt; LIT_High]])</f>
        <v>0</v>
      </c>
    </row>
    <row r="13" spans="1:51" x14ac:dyDescent="0.25">
      <c r="A13" s="37">
        <v>42</v>
      </c>
      <c r="B13" s="37" t="s">
        <v>433</v>
      </c>
      <c r="C13" s="37" t="s">
        <v>432</v>
      </c>
      <c r="D13" s="37" t="s">
        <v>434</v>
      </c>
      <c r="E13" s="37" t="s">
        <v>435</v>
      </c>
      <c r="F13" s="37" t="s">
        <v>436</v>
      </c>
      <c r="G13" s="37" t="s">
        <v>667</v>
      </c>
      <c r="H13" s="39" t="s">
        <v>437</v>
      </c>
      <c r="I13" s="39" t="str">
        <f>LEFT(SLR_Covidence_Data_Extraction__66_files[[#This Row],[Publication date]],4)</f>
        <v>2019</v>
      </c>
      <c r="J13" s="37" t="s">
        <v>771</v>
      </c>
      <c r="K13" s="37" t="s">
        <v>438</v>
      </c>
      <c r="L13" s="37" t="s">
        <v>1478</v>
      </c>
      <c r="N13" s="37" t="s">
        <v>1480</v>
      </c>
      <c r="P13" s="37" t="s">
        <v>28</v>
      </c>
      <c r="Q13" s="37" t="s">
        <v>28</v>
      </c>
      <c r="R13" s="37">
        <f>28+6</f>
        <v>34</v>
      </c>
      <c r="S13" s="37" t="s">
        <v>439</v>
      </c>
      <c r="T13" s="37" t="s">
        <v>439</v>
      </c>
      <c r="U13" s="37" t="s">
        <v>440</v>
      </c>
      <c r="V13" s="37" t="s">
        <v>32</v>
      </c>
      <c r="W13" s="37" t="s">
        <v>148</v>
      </c>
      <c r="X13" s="37" t="s">
        <v>26</v>
      </c>
      <c r="Y13" s="37" t="s">
        <v>441</v>
      </c>
      <c r="Z13" s="37" t="s">
        <v>136</v>
      </c>
      <c r="AA13" s="37" t="s">
        <v>1470</v>
      </c>
      <c r="AB13" s="38">
        <f>89+10</f>
        <v>99</v>
      </c>
      <c r="AC13" s="37" t="s">
        <v>858</v>
      </c>
      <c r="AD13" s="37" t="s">
        <v>442</v>
      </c>
      <c r="AE13" s="37" t="s">
        <v>443</v>
      </c>
      <c r="AF13" s="37" t="s">
        <v>444</v>
      </c>
      <c r="AG13" s="37" t="s">
        <v>359</v>
      </c>
      <c r="AH13" s="37">
        <f>+COUNTIFS('Coded Segments'!$C$2:$C$913,SLR_Covidence_Data_Extraction__66_files[[#This Row],[Study ID_1]],'Coded Segments'!$D$2:$D$913,SLR_Covidence_Data_Extraction__66_files[[#Headers],[Adoption (AD) &gt; AD_High]])</f>
        <v>1</v>
      </c>
      <c r="AI13" s="37">
        <f>+COUNTIFS('Coded Segments'!$C$2:$C$913,SLR_Covidence_Data_Extraction__66_files[[#This Row],[Study ID_1]],'Coded Segments'!$D$2:$D$913,SLR_Covidence_Data_Extraction__66_files[[#Headers],[Adoption (AD) &gt; AD_Moderate]])</f>
        <v>0</v>
      </c>
      <c r="AJ13" s="37">
        <f>+COUNTIFS('Coded Segments'!$C$2:$C$913,SLR_Covidence_Data_Extraction__66_files[[#This Row],[Study ID_1]],'Coded Segments'!$D$2:$D$913,SLR_Covidence_Data_Extraction__66_files[[#Headers],[Adoption (AD) &gt; AD_Low]])</f>
        <v>0</v>
      </c>
      <c r="AK13" s="37">
        <f>+COUNTIFS('Coded Segments'!$C$2:$C$913,SLR_Covidence_Data_Extraction__66_files[[#This Row],[Study ID_1]],'Coded Segments'!$D$2:$D$913,SLR_Covidence_Data_Extraction__66_files[[#Headers],[Adoption (AD) &gt; AD_None]])</f>
        <v>0</v>
      </c>
      <c r="AL13" s="37">
        <f>+COUNTIFS('Coded Segments'!$C$2:$C$913,SLR_Covidence_Data_Extraction__66_files[[#This Row],[Study ID_1]],'Coded Segments'!$D$2:$D$913,SLR_Covidence_Data_Extraction__66_files[[#Headers],[Attitude (ATT) &gt; ATT_Negative]])</f>
        <v>3</v>
      </c>
      <c r="AM13" s="37">
        <f>+COUNTIFS('Coded Segments'!$C$2:$C$913,SLR_Covidence_Data_Extraction__66_files[[#This Row],[Study ID_1]],'Coded Segments'!$D$2:$D$913,SLR_Covidence_Data_Extraction__66_files[[#Headers],[Attitude (ATT) &gt; ATT_Positive]])</f>
        <v>2</v>
      </c>
      <c r="AN13" s="37">
        <f>+COUNTIFS('Coded Segments'!$C$2:$C$913,SLR_Covidence_Data_Extraction__66_files[[#This Row],[Study ID_1]],'Coded Segments'!$D$2:$D$913,SLR_Covidence_Data_Extraction__66_files[[#Headers],[Ethical Concerns (EC) &gt; EC_Bias]])</f>
        <v>0</v>
      </c>
      <c r="AO13" s="37">
        <f>+COUNTIFS('Coded Segments'!$C$2:$C$913,SLR_Covidence_Data_Extraction__66_files[[#This Row],[Study ID_1]],'Coded Segments'!$D$2:$D$913,SLR_Covidence_Data_Extraction__66_files[[#Headers],[Ethical Concerns (EC) &gt; EC_Copyright]])</f>
        <v>0</v>
      </c>
      <c r="AP13" s="37">
        <f>+COUNTIFS('Coded Segments'!$C$2:$C$913,SLR_Covidence_Data_Extraction__66_files[[#This Row],[Study ID_1]],'Coded Segments'!$D$2:$D$913,SLR_Covidence_Data_Extraction__66_files[[#Headers],[Ethical Concerns (EC) &gt; EC_Data safety &amp; confidentiality]])</f>
        <v>1</v>
      </c>
      <c r="AQ13" s="37">
        <f>+COUNTIFS('Coded Segments'!$C$2:$C$913,SLR_Covidence_Data_Extraction__66_files[[#This Row],[Study ID_1]],'Coded Segments'!$D$2:$D$913,SLR_Covidence_Data_Extraction__66_files[[#Headers],[Ethical Concerns (EC) &gt; EC_Environmental sustainability]])</f>
        <v>0</v>
      </c>
      <c r="AR13" s="37">
        <f>+COUNTIFS('Coded Segments'!$C$2:$C$913,SLR_Covidence_Data_Extraction__66_files[[#This Row],[Study ID_1]],'Coded Segments'!$D$2:$D$913,SLR_Covidence_Data_Extraction__66_files[[#Headers],[Ethical Concerns (EC) &gt; EC_Payment]])</f>
        <v>0</v>
      </c>
      <c r="AS13" s="37">
        <f>+COUNTIFS('Coded Segments'!$C$2:$C$912,SLR_Covidence_Data_Extraction__66_files[[#This Row],[Study ID_1]],'Coded Segments'!$D$2:$D$912,SLR_Covidence_Data_Extraction__66_files[[#Headers],[Ethical Concerns (EC) &gt; EC_Quality]])</f>
        <v>0</v>
      </c>
      <c r="AT13" s="37">
        <f>+COUNTIFS('Coded Segments'!$C$2:$C$913,SLR_Covidence_Data_Extraction__66_files[[#This Row],[Study ID_1]],'Coded Segments'!$D$2:$D$913,SLR_Covidence_Data_Extraction__66_files[[#Headers],[Ethical Concerns (EC) &gt; EC_Translators’ role &amp; status]])</f>
        <v>3</v>
      </c>
      <c r="AU13" s="37">
        <f>+COUNTIFS('Coded Segments'!$C$2:$C$913,SLR_Covidence_Data_Extraction__66_files[[#This Row],[Study ID_1]],'Coded Segments'!$D$2:$D$913,SLR_Covidence_Data_Extraction__66_files[[#Headers],[Ethical Concerns (EC) &gt; EC_Other]])</f>
        <v>0</v>
      </c>
      <c r="AV13" s="37">
        <f>+COUNTIFS('Coded Segments'!$C$2:$C$913,SLR_Covidence_Data_Extraction__66_files[[#This Row],[Study ID_1]],'Coded Segments'!$D$2:$D$913,SLR_Covidence_Data_Extraction__66_files[[#Headers],[Literacy (LIT) &gt; LIT_Generic]])</f>
        <v>0</v>
      </c>
      <c r="AW13" s="37">
        <f>+COUNTIFS('Coded Segments'!$C$2:$C$913,SLR_Covidence_Data_Extraction__66_files[[#This Row],[Study ID_1]],'Coded Segments'!$D$2:$D$913,SLR_Covidence_Data_Extraction__66_files[[#Headers],[Literacy (LIT) &gt; LIT_None ]])</f>
        <v>0</v>
      </c>
      <c r="AX13" s="37">
        <f>+COUNTIFS('Coded Segments'!$C$2:$C$913,SLR_Covidence_Data_Extraction__66_files[[#This Row],[Study ID_1]],'Coded Segments'!$D$2:$D$913,SLR_Covidence_Data_Extraction__66_files[[#Headers],[Literacy (LIT) &gt; LIT_Low ]])</f>
        <v>2</v>
      </c>
      <c r="AY13" s="37">
        <f>+COUNTIFS('Coded Segments'!$C$2:$C$913,SLR_Covidence_Data_Extraction__66_files[[#This Row],[Study ID_1]],'Coded Segments'!$D$2:$D$913,SLR_Covidence_Data_Extraction__66_files[[#Headers],[Literacy (LIT) &gt; LIT_High]])</f>
        <v>1</v>
      </c>
    </row>
    <row r="14" spans="1:51" x14ac:dyDescent="0.25">
      <c r="A14" s="37">
        <v>40</v>
      </c>
      <c r="B14" s="37" t="s">
        <v>454</v>
      </c>
      <c r="C14" s="37" t="s">
        <v>452</v>
      </c>
      <c r="D14" s="37" t="s">
        <v>453</v>
      </c>
      <c r="E14" s="37" t="s">
        <v>455</v>
      </c>
      <c r="F14" s="37" t="s">
        <v>456</v>
      </c>
      <c r="G14" s="37" t="s">
        <v>101</v>
      </c>
      <c r="H14" s="39" t="s">
        <v>860</v>
      </c>
      <c r="I14" s="39" t="str">
        <f>LEFT(SLR_Covidence_Data_Extraction__66_files[[#This Row],[Publication date]],4)</f>
        <v>2019</v>
      </c>
      <c r="J14" s="37" t="s">
        <v>769</v>
      </c>
      <c r="K14" s="37" t="s">
        <v>457</v>
      </c>
      <c r="N14" s="37" t="s">
        <v>1480</v>
      </c>
      <c r="P14" s="37" t="s">
        <v>26</v>
      </c>
      <c r="Q14" s="37" t="s">
        <v>26</v>
      </c>
      <c r="S14" s="37" t="s">
        <v>230</v>
      </c>
      <c r="T14" s="37" t="s">
        <v>439</v>
      </c>
      <c r="U14" s="37" t="s">
        <v>458</v>
      </c>
      <c r="V14" s="37" t="s">
        <v>32</v>
      </c>
      <c r="X14" s="37" t="s">
        <v>459</v>
      </c>
      <c r="Y14" s="37" t="s">
        <v>460</v>
      </c>
      <c r="Z14" s="37" t="s">
        <v>1559</v>
      </c>
      <c r="AA14" s="37" t="s">
        <v>1463</v>
      </c>
      <c r="AB14" s="38">
        <v>29</v>
      </c>
      <c r="AC14" s="37" t="s">
        <v>861</v>
      </c>
      <c r="AD14" s="37" t="s">
        <v>461</v>
      </c>
      <c r="AE14" s="37" t="s">
        <v>462</v>
      </c>
      <c r="AF14" s="37" t="s">
        <v>463</v>
      </c>
      <c r="AG14" s="37" t="s">
        <v>64</v>
      </c>
      <c r="AH14" s="37">
        <f>+COUNTIFS('Coded Segments'!$C$2:$C$913,SLR_Covidence_Data_Extraction__66_files[[#This Row],[Study ID_1]],'Coded Segments'!$D$2:$D$913,SLR_Covidence_Data_Extraction__66_files[[#Headers],[Adoption (AD) &gt; AD_High]])</f>
        <v>0</v>
      </c>
      <c r="AI14" s="37">
        <f>+COUNTIFS('Coded Segments'!$C$2:$C$913,SLR_Covidence_Data_Extraction__66_files[[#This Row],[Study ID_1]],'Coded Segments'!$D$2:$D$913,SLR_Covidence_Data_Extraction__66_files[[#Headers],[Adoption (AD) &gt; AD_Moderate]])</f>
        <v>0</v>
      </c>
      <c r="AJ14" s="37">
        <f>+COUNTIFS('Coded Segments'!$C$2:$C$913,SLR_Covidence_Data_Extraction__66_files[[#This Row],[Study ID_1]],'Coded Segments'!$D$2:$D$913,SLR_Covidence_Data_Extraction__66_files[[#Headers],[Adoption (AD) &gt; AD_Low]])</f>
        <v>0</v>
      </c>
      <c r="AK14" s="37">
        <f>+COUNTIFS('Coded Segments'!$C$2:$C$913,SLR_Covidence_Data_Extraction__66_files[[#This Row],[Study ID_1]],'Coded Segments'!$D$2:$D$913,SLR_Covidence_Data_Extraction__66_files[[#Headers],[Adoption (AD) &gt; AD_None]])</f>
        <v>0</v>
      </c>
      <c r="AL14" s="37">
        <f>+COUNTIFS('Coded Segments'!$C$2:$C$913,SLR_Covidence_Data_Extraction__66_files[[#This Row],[Study ID_1]],'Coded Segments'!$D$2:$D$913,SLR_Covidence_Data_Extraction__66_files[[#Headers],[Attitude (ATT) &gt; ATT_Negative]])</f>
        <v>5</v>
      </c>
      <c r="AM14" s="37">
        <f>+COUNTIFS('Coded Segments'!$C$2:$C$913,SLR_Covidence_Data_Extraction__66_files[[#This Row],[Study ID_1]],'Coded Segments'!$D$2:$D$913,SLR_Covidence_Data_Extraction__66_files[[#Headers],[Attitude (ATT) &gt; ATT_Positive]])</f>
        <v>1</v>
      </c>
      <c r="AN14" s="37">
        <f>+COUNTIFS('Coded Segments'!$C$2:$C$913,SLR_Covidence_Data_Extraction__66_files[[#This Row],[Study ID_1]],'Coded Segments'!$D$2:$D$913,SLR_Covidence_Data_Extraction__66_files[[#Headers],[Ethical Concerns (EC) &gt; EC_Bias]])</f>
        <v>0</v>
      </c>
      <c r="AO14" s="37">
        <f>+COUNTIFS('Coded Segments'!$C$2:$C$913,SLR_Covidence_Data_Extraction__66_files[[#This Row],[Study ID_1]],'Coded Segments'!$D$2:$D$913,SLR_Covidence_Data_Extraction__66_files[[#Headers],[Ethical Concerns (EC) &gt; EC_Copyright]])</f>
        <v>0</v>
      </c>
      <c r="AP14" s="37">
        <f>+COUNTIFS('Coded Segments'!$C$2:$C$913,SLR_Covidence_Data_Extraction__66_files[[#This Row],[Study ID_1]],'Coded Segments'!$D$2:$D$913,SLR_Covidence_Data_Extraction__66_files[[#Headers],[Ethical Concerns (EC) &gt; EC_Data safety &amp; confidentiality]])</f>
        <v>0</v>
      </c>
      <c r="AQ14" s="37">
        <f>+COUNTIFS('Coded Segments'!$C$2:$C$913,SLR_Covidence_Data_Extraction__66_files[[#This Row],[Study ID_1]],'Coded Segments'!$D$2:$D$913,SLR_Covidence_Data_Extraction__66_files[[#Headers],[Ethical Concerns (EC) &gt; EC_Environmental sustainability]])</f>
        <v>0</v>
      </c>
      <c r="AR14" s="37">
        <f>+COUNTIFS('Coded Segments'!$C$2:$C$913,SLR_Covidence_Data_Extraction__66_files[[#This Row],[Study ID_1]],'Coded Segments'!$D$2:$D$913,SLR_Covidence_Data_Extraction__66_files[[#Headers],[Ethical Concerns (EC) &gt; EC_Payment]])</f>
        <v>3</v>
      </c>
      <c r="AS14" s="37">
        <f>+COUNTIFS('Coded Segments'!$C$2:$C$912,SLR_Covidence_Data_Extraction__66_files[[#This Row],[Study ID_1]],'Coded Segments'!$D$2:$D$912,SLR_Covidence_Data_Extraction__66_files[[#Headers],[Ethical Concerns (EC) &gt; EC_Quality]])</f>
        <v>4</v>
      </c>
      <c r="AT14" s="37">
        <f>+COUNTIFS('Coded Segments'!$C$2:$C$913,SLR_Covidence_Data_Extraction__66_files[[#This Row],[Study ID_1]],'Coded Segments'!$D$2:$D$913,SLR_Covidence_Data_Extraction__66_files[[#Headers],[Ethical Concerns (EC) &gt; EC_Translators’ role &amp; status]])</f>
        <v>3</v>
      </c>
      <c r="AU14" s="37">
        <f>+COUNTIFS('Coded Segments'!$C$2:$C$913,SLR_Covidence_Data_Extraction__66_files[[#This Row],[Study ID_1]],'Coded Segments'!$D$2:$D$913,SLR_Covidence_Data_Extraction__66_files[[#Headers],[Ethical Concerns (EC) &gt; EC_Other]])</f>
        <v>0</v>
      </c>
      <c r="AV14" s="37">
        <f>+COUNTIFS('Coded Segments'!$C$2:$C$913,SLR_Covidence_Data_Extraction__66_files[[#This Row],[Study ID_1]],'Coded Segments'!$D$2:$D$913,SLR_Covidence_Data_Extraction__66_files[[#Headers],[Literacy (LIT) &gt; LIT_Generic]])</f>
        <v>1</v>
      </c>
      <c r="AW14" s="37">
        <f>+COUNTIFS('Coded Segments'!$C$2:$C$913,SLR_Covidence_Data_Extraction__66_files[[#This Row],[Study ID_1]],'Coded Segments'!$D$2:$D$913,SLR_Covidence_Data_Extraction__66_files[[#Headers],[Literacy (LIT) &gt; LIT_None ]])</f>
        <v>0</v>
      </c>
      <c r="AX14" s="37">
        <f>+COUNTIFS('Coded Segments'!$C$2:$C$913,SLR_Covidence_Data_Extraction__66_files[[#This Row],[Study ID_1]],'Coded Segments'!$D$2:$D$913,SLR_Covidence_Data_Extraction__66_files[[#Headers],[Literacy (LIT) &gt; LIT_Low ]])</f>
        <v>0</v>
      </c>
      <c r="AY14" s="37">
        <f>+COUNTIFS('Coded Segments'!$C$2:$C$913,SLR_Covidence_Data_Extraction__66_files[[#This Row],[Study ID_1]],'Coded Segments'!$D$2:$D$913,SLR_Covidence_Data_Extraction__66_files[[#Headers],[Literacy (LIT) &gt; LIT_High]])</f>
        <v>0</v>
      </c>
    </row>
    <row r="15" spans="1:51" x14ac:dyDescent="0.25">
      <c r="A15" s="37">
        <v>54</v>
      </c>
      <c r="B15" s="37" t="s">
        <v>339</v>
      </c>
      <c r="C15" s="37" t="s">
        <v>337</v>
      </c>
      <c r="D15" s="37" t="s">
        <v>338</v>
      </c>
      <c r="E15" s="37" t="s">
        <v>340</v>
      </c>
      <c r="F15" s="37" t="s">
        <v>341</v>
      </c>
      <c r="G15" s="37" t="s">
        <v>783</v>
      </c>
      <c r="H15" s="39" t="s">
        <v>846</v>
      </c>
      <c r="I15" s="39" t="str">
        <f>LEFT(SLR_Covidence_Data_Extraction__66_files[[#This Row],[Publication date]],4)</f>
        <v>2020</v>
      </c>
      <c r="J15" s="37" t="s">
        <v>771</v>
      </c>
      <c r="K15" s="37" t="s">
        <v>342</v>
      </c>
      <c r="L15" s="37" t="s">
        <v>1478</v>
      </c>
      <c r="O15" s="37" t="s">
        <v>914</v>
      </c>
      <c r="P15" s="37" t="s">
        <v>28</v>
      </c>
      <c r="Q15" s="37" t="s">
        <v>28</v>
      </c>
      <c r="R15" s="37">
        <v>6</v>
      </c>
      <c r="S15" s="37" t="s">
        <v>344</v>
      </c>
      <c r="T15" s="37" t="s">
        <v>344</v>
      </c>
      <c r="U15" s="37" t="s">
        <v>345</v>
      </c>
      <c r="V15" s="37" t="s">
        <v>32</v>
      </c>
      <c r="W15" s="37" t="s">
        <v>148</v>
      </c>
      <c r="X15" s="37" t="s">
        <v>26</v>
      </c>
      <c r="Y15" s="37" t="s">
        <v>346</v>
      </c>
      <c r="Z15" s="37" t="s">
        <v>136</v>
      </c>
      <c r="AA15" s="37" t="s">
        <v>1463</v>
      </c>
      <c r="AB15" s="38">
        <v>20</v>
      </c>
      <c r="AC15" s="37" t="s">
        <v>72</v>
      </c>
      <c r="AD15" s="37" t="s">
        <v>347</v>
      </c>
      <c r="AE15" s="37" t="s">
        <v>348</v>
      </c>
      <c r="AF15" s="37" t="s">
        <v>349</v>
      </c>
      <c r="AG15" s="37" t="s">
        <v>180</v>
      </c>
      <c r="AH15" s="37">
        <f>+COUNTIFS('Coded Segments'!$C$2:$C$913,SLR_Covidence_Data_Extraction__66_files[[#This Row],[Study ID_1]],'Coded Segments'!$D$2:$D$913,SLR_Covidence_Data_Extraction__66_files[[#Headers],[Adoption (AD) &gt; AD_High]])</f>
        <v>1</v>
      </c>
      <c r="AI15" s="37">
        <f>+COUNTIFS('Coded Segments'!$C$2:$C$913,SLR_Covidence_Data_Extraction__66_files[[#This Row],[Study ID_1]],'Coded Segments'!$D$2:$D$913,SLR_Covidence_Data_Extraction__66_files[[#Headers],[Adoption (AD) &gt; AD_Moderate]])</f>
        <v>0</v>
      </c>
      <c r="AJ15" s="37">
        <f>+COUNTIFS('Coded Segments'!$C$2:$C$913,SLR_Covidence_Data_Extraction__66_files[[#This Row],[Study ID_1]],'Coded Segments'!$D$2:$D$913,SLR_Covidence_Data_Extraction__66_files[[#Headers],[Adoption (AD) &gt; AD_Low]])</f>
        <v>0</v>
      </c>
      <c r="AK15" s="37">
        <f>+COUNTIFS('Coded Segments'!$C$2:$C$913,SLR_Covidence_Data_Extraction__66_files[[#This Row],[Study ID_1]],'Coded Segments'!$D$2:$D$913,SLR_Covidence_Data_Extraction__66_files[[#Headers],[Adoption (AD) &gt; AD_None]])</f>
        <v>0</v>
      </c>
      <c r="AL15" s="37">
        <f>+COUNTIFS('Coded Segments'!$C$2:$C$913,SLR_Covidence_Data_Extraction__66_files[[#This Row],[Study ID_1]],'Coded Segments'!$D$2:$D$913,SLR_Covidence_Data_Extraction__66_files[[#Headers],[Attitude (ATT) &gt; ATT_Negative]])</f>
        <v>1</v>
      </c>
      <c r="AM15" s="37">
        <f>+COUNTIFS('Coded Segments'!$C$2:$C$913,SLR_Covidence_Data_Extraction__66_files[[#This Row],[Study ID_1]],'Coded Segments'!$D$2:$D$913,SLR_Covidence_Data_Extraction__66_files[[#Headers],[Attitude (ATT) &gt; ATT_Positive]])</f>
        <v>2</v>
      </c>
      <c r="AN15" s="37">
        <f>+COUNTIFS('Coded Segments'!$C$2:$C$913,SLR_Covidence_Data_Extraction__66_files[[#This Row],[Study ID_1]],'Coded Segments'!$D$2:$D$913,SLR_Covidence_Data_Extraction__66_files[[#Headers],[Ethical Concerns (EC) &gt; EC_Bias]])</f>
        <v>0</v>
      </c>
      <c r="AO15" s="37">
        <f>+COUNTIFS('Coded Segments'!$C$2:$C$913,SLR_Covidence_Data_Extraction__66_files[[#This Row],[Study ID_1]],'Coded Segments'!$D$2:$D$913,SLR_Covidence_Data_Extraction__66_files[[#Headers],[Ethical Concerns (EC) &gt; EC_Copyright]])</f>
        <v>0</v>
      </c>
      <c r="AP15" s="37">
        <f>+COUNTIFS('Coded Segments'!$C$2:$C$913,SLR_Covidence_Data_Extraction__66_files[[#This Row],[Study ID_1]],'Coded Segments'!$D$2:$D$913,SLR_Covidence_Data_Extraction__66_files[[#Headers],[Ethical Concerns (EC) &gt; EC_Data safety &amp; confidentiality]])</f>
        <v>0</v>
      </c>
      <c r="AQ15" s="37">
        <f>+COUNTIFS('Coded Segments'!$C$2:$C$913,SLR_Covidence_Data_Extraction__66_files[[#This Row],[Study ID_1]],'Coded Segments'!$D$2:$D$913,SLR_Covidence_Data_Extraction__66_files[[#Headers],[Ethical Concerns (EC) &gt; EC_Environmental sustainability]])</f>
        <v>0</v>
      </c>
      <c r="AR15" s="37">
        <f>+COUNTIFS('Coded Segments'!$C$2:$C$913,SLR_Covidence_Data_Extraction__66_files[[#This Row],[Study ID_1]],'Coded Segments'!$D$2:$D$913,SLR_Covidence_Data_Extraction__66_files[[#Headers],[Ethical Concerns (EC) &gt; EC_Payment]])</f>
        <v>0</v>
      </c>
      <c r="AS15" s="37">
        <f>+COUNTIFS('Coded Segments'!$C$2:$C$912,SLR_Covidence_Data_Extraction__66_files[[#This Row],[Study ID_1]],'Coded Segments'!$D$2:$D$912,SLR_Covidence_Data_Extraction__66_files[[#Headers],[Ethical Concerns (EC) &gt; EC_Quality]])</f>
        <v>1</v>
      </c>
      <c r="AT15" s="37">
        <f>+COUNTIFS('Coded Segments'!$C$2:$C$913,SLR_Covidence_Data_Extraction__66_files[[#This Row],[Study ID_1]],'Coded Segments'!$D$2:$D$913,SLR_Covidence_Data_Extraction__66_files[[#Headers],[Ethical Concerns (EC) &gt; EC_Translators’ role &amp; status]])</f>
        <v>0</v>
      </c>
      <c r="AU15" s="37">
        <f>+COUNTIFS('Coded Segments'!$C$2:$C$913,SLR_Covidence_Data_Extraction__66_files[[#This Row],[Study ID_1]],'Coded Segments'!$D$2:$D$913,SLR_Covidence_Data_Extraction__66_files[[#Headers],[Ethical Concerns (EC) &gt; EC_Other]])</f>
        <v>0</v>
      </c>
      <c r="AV15" s="37">
        <f>+COUNTIFS('Coded Segments'!$C$2:$C$913,SLR_Covidence_Data_Extraction__66_files[[#This Row],[Study ID_1]],'Coded Segments'!$D$2:$D$913,SLR_Covidence_Data_Extraction__66_files[[#Headers],[Literacy (LIT) &gt; LIT_Generic]])</f>
        <v>0</v>
      </c>
      <c r="AW15" s="37">
        <f>+COUNTIFS('Coded Segments'!$C$2:$C$913,SLR_Covidence_Data_Extraction__66_files[[#This Row],[Study ID_1]],'Coded Segments'!$D$2:$D$913,SLR_Covidence_Data_Extraction__66_files[[#Headers],[Literacy (LIT) &gt; LIT_None ]])</f>
        <v>0</v>
      </c>
      <c r="AX15" s="37">
        <f>+COUNTIFS('Coded Segments'!$C$2:$C$913,SLR_Covidence_Data_Extraction__66_files[[#This Row],[Study ID_1]],'Coded Segments'!$D$2:$D$913,SLR_Covidence_Data_Extraction__66_files[[#Headers],[Literacy (LIT) &gt; LIT_Low ]])</f>
        <v>0</v>
      </c>
      <c r="AY15" s="37">
        <f>+COUNTIFS('Coded Segments'!$C$2:$C$913,SLR_Covidence_Data_Extraction__66_files[[#This Row],[Study ID_1]],'Coded Segments'!$D$2:$D$913,SLR_Covidence_Data_Extraction__66_files[[#Headers],[Literacy (LIT) &gt; LIT_High]])</f>
        <v>0</v>
      </c>
    </row>
    <row r="16" spans="1:51" x14ac:dyDescent="0.25">
      <c r="A16" s="37">
        <v>22</v>
      </c>
      <c r="B16" s="37" t="s">
        <v>574</v>
      </c>
      <c r="C16" s="37" t="s">
        <v>573</v>
      </c>
      <c r="D16" s="37" t="s">
        <v>575</v>
      </c>
      <c r="E16" s="37" t="s">
        <v>576</v>
      </c>
      <c r="F16" s="37" t="s">
        <v>577</v>
      </c>
      <c r="G16" s="37" t="s">
        <v>377</v>
      </c>
      <c r="H16" s="39" t="s">
        <v>875</v>
      </c>
      <c r="I16" s="39" t="str">
        <f>LEFT(SLR_Covidence_Data_Extraction__66_files[[#This Row],[Publication date]],4)</f>
        <v>2020</v>
      </c>
      <c r="J16" s="37" t="s">
        <v>377</v>
      </c>
      <c r="K16" s="37" t="s">
        <v>578</v>
      </c>
      <c r="L16" s="37" t="s">
        <v>1478</v>
      </c>
      <c r="N16" s="37" t="s">
        <v>1480</v>
      </c>
      <c r="O16" s="37" t="s">
        <v>916</v>
      </c>
      <c r="P16" s="37" t="s">
        <v>26</v>
      </c>
      <c r="Q16" s="37" t="s">
        <v>26</v>
      </c>
      <c r="S16" s="37" t="s">
        <v>579</v>
      </c>
      <c r="T16" s="37" t="s">
        <v>580</v>
      </c>
      <c r="U16" s="37" t="s">
        <v>581</v>
      </c>
      <c r="V16" s="37" t="s">
        <v>32</v>
      </c>
      <c r="W16" s="37" t="s">
        <v>148</v>
      </c>
      <c r="X16" s="37" t="s">
        <v>26</v>
      </c>
      <c r="Y16" s="37" t="s">
        <v>582</v>
      </c>
      <c r="Z16" s="37" t="s">
        <v>136</v>
      </c>
      <c r="AA16" s="37" t="s">
        <v>1466</v>
      </c>
      <c r="AB16" s="38">
        <v>12</v>
      </c>
      <c r="AC16" s="37" t="s">
        <v>583</v>
      </c>
      <c r="AD16" s="37" t="s">
        <v>584</v>
      </c>
      <c r="AE16" s="37" t="s">
        <v>585</v>
      </c>
      <c r="AF16" s="37" t="s">
        <v>586</v>
      </c>
      <c r="AG16" s="37" t="s">
        <v>140</v>
      </c>
      <c r="AH16" s="37">
        <f>+COUNTIFS('Coded Segments'!$C$2:$C$913,SLR_Covidence_Data_Extraction__66_files[[#This Row],[Study ID_1]],'Coded Segments'!$D$2:$D$913,SLR_Covidence_Data_Extraction__66_files[[#Headers],[Adoption (AD) &gt; AD_High]])</f>
        <v>1</v>
      </c>
      <c r="AI16" s="37">
        <f>+COUNTIFS('Coded Segments'!$C$2:$C$913,SLR_Covidence_Data_Extraction__66_files[[#This Row],[Study ID_1]],'Coded Segments'!$D$2:$D$913,SLR_Covidence_Data_Extraction__66_files[[#Headers],[Adoption (AD) &gt; AD_Moderate]])</f>
        <v>0</v>
      </c>
      <c r="AJ16" s="37">
        <f>+COUNTIFS('Coded Segments'!$C$2:$C$913,SLR_Covidence_Data_Extraction__66_files[[#This Row],[Study ID_1]],'Coded Segments'!$D$2:$D$913,SLR_Covidence_Data_Extraction__66_files[[#Headers],[Adoption (AD) &gt; AD_Low]])</f>
        <v>0</v>
      </c>
      <c r="AK16" s="37">
        <f>+COUNTIFS('Coded Segments'!$C$2:$C$913,SLR_Covidence_Data_Extraction__66_files[[#This Row],[Study ID_1]],'Coded Segments'!$D$2:$D$913,SLR_Covidence_Data_Extraction__66_files[[#Headers],[Adoption (AD) &gt; AD_None]])</f>
        <v>0</v>
      </c>
      <c r="AL16" s="37">
        <f>+COUNTIFS('Coded Segments'!$C$2:$C$913,SLR_Covidence_Data_Extraction__66_files[[#This Row],[Study ID_1]],'Coded Segments'!$D$2:$D$913,SLR_Covidence_Data_Extraction__66_files[[#Headers],[Attitude (ATT) &gt; ATT_Negative]])</f>
        <v>6</v>
      </c>
      <c r="AM16" s="37">
        <f>+COUNTIFS('Coded Segments'!$C$2:$C$913,SLR_Covidence_Data_Extraction__66_files[[#This Row],[Study ID_1]],'Coded Segments'!$D$2:$D$913,SLR_Covidence_Data_Extraction__66_files[[#Headers],[Attitude (ATT) &gt; ATT_Positive]])</f>
        <v>1</v>
      </c>
      <c r="AN16" s="37">
        <f>+COUNTIFS('Coded Segments'!$C$2:$C$913,SLR_Covidence_Data_Extraction__66_files[[#This Row],[Study ID_1]],'Coded Segments'!$D$2:$D$913,SLR_Covidence_Data_Extraction__66_files[[#Headers],[Ethical Concerns (EC) &gt; EC_Bias]])</f>
        <v>0</v>
      </c>
      <c r="AO16" s="37">
        <f>+COUNTIFS('Coded Segments'!$C$2:$C$913,SLR_Covidence_Data_Extraction__66_files[[#This Row],[Study ID_1]],'Coded Segments'!$D$2:$D$913,SLR_Covidence_Data_Extraction__66_files[[#Headers],[Ethical Concerns (EC) &gt; EC_Copyright]])</f>
        <v>0</v>
      </c>
      <c r="AP16" s="37">
        <f>+COUNTIFS('Coded Segments'!$C$2:$C$913,SLR_Covidence_Data_Extraction__66_files[[#This Row],[Study ID_1]],'Coded Segments'!$D$2:$D$913,SLR_Covidence_Data_Extraction__66_files[[#Headers],[Ethical Concerns (EC) &gt; EC_Data safety &amp; confidentiality]])</f>
        <v>0</v>
      </c>
      <c r="AQ16" s="37">
        <f>+COUNTIFS('Coded Segments'!$C$2:$C$913,SLR_Covidence_Data_Extraction__66_files[[#This Row],[Study ID_1]],'Coded Segments'!$D$2:$D$913,SLR_Covidence_Data_Extraction__66_files[[#Headers],[Ethical Concerns (EC) &gt; EC_Environmental sustainability]])</f>
        <v>0</v>
      </c>
      <c r="AR16" s="37">
        <f>+COUNTIFS('Coded Segments'!$C$2:$C$913,SLR_Covidence_Data_Extraction__66_files[[#This Row],[Study ID_1]],'Coded Segments'!$D$2:$D$913,SLR_Covidence_Data_Extraction__66_files[[#Headers],[Ethical Concerns (EC) &gt; EC_Payment]])</f>
        <v>0</v>
      </c>
      <c r="AS16" s="37">
        <f>+COUNTIFS('Coded Segments'!$C$2:$C$912,SLR_Covidence_Data_Extraction__66_files[[#This Row],[Study ID_1]],'Coded Segments'!$D$2:$D$912,SLR_Covidence_Data_Extraction__66_files[[#Headers],[Ethical Concerns (EC) &gt; EC_Quality]])</f>
        <v>6</v>
      </c>
      <c r="AT16" s="37">
        <f>+COUNTIFS('Coded Segments'!$C$2:$C$913,SLR_Covidence_Data_Extraction__66_files[[#This Row],[Study ID_1]],'Coded Segments'!$D$2:$D$913,SLR_Covidence_Data_Extraction__66_files[[#Headers],[Ethical Concerns (EC) &gt; EC_Translators’ role &amp; status]])</f>
        <v>0</v>
      </c>
      <c r="AU16" s="37">
        <f>+COUNTIFS('Coded Segments'!$C$2:$C$913,SLR_Covidence_Data_Extraction__66_files[[#This Row],[Study ID_1]],'Coded Segments'!$D$2:$D$913,SLR_Covidence_Data_Extraction__66_files[[#Headers],[Ethical Concerns (EC) &gt; EC_Other]])</f>
        <v>0</v>
      </c>
      <c r="AV16" s="37">
        <f>+COUNTIFS('Coded Segments'!$C$2:$C$913,SLR_Covidence_Data_Extraction__66_files[[#This Row],[Study ID_1]],'Coded Segments'!$D$2:$D$913,SLR_Covidence_Data_Extraction__66_files[[#Headers],[Literacy (LIT) &gt; LIT_Generic]])</f>
        <v>0</v>
      </c>
      <c r="AW16" s="37">
        <f>+COUNTIFS('Coded Segments'!$C$2:$C$913,SLR_Covidence_Data_Extraction__66_files[[#This Row],[Study ID_1]],'Coded Segments'!$D$2:$D$913,SLR_Covidence_Data_Extraction__66_files[[#Headers],[Literacy (LIT) &gt; LIT_None ]])</f>
        <v>0</v>
      </c>
      <c r="AX16" s="37">
        <f>+COUNTIFS('Coded Segments'!$C$2:$C$913,SLR_Covidence_Data_Extraction__66_files[[#This Row],[Study ID_1]],'Coded Segments'!$D$2:$D$913,SLR_Covidence_Data_Extraction__66_files[[#Headers],[Literacy (LIT) &gt; LIT_Low ]])</f>
        <v>0</v>
      </c>
      <c r="AY16" s="37">
        <f>+COUNTIFS('Coded Segments'!$C$2:$C$913,SLR_Covidence_Data_Extraction__66_files[[#This Row],[Study ID_1]],'Coded Segments'!$D$2:$D$913,SLR_Covidence_Data_Extraction__66_files[[#Headers],[Literacy (LIT) &gt; LIT_High]])</f>
        <v>0</v>
      </c>
    </row>
    <row r="17" spans="1:51" x14ac:dyDescent="0.25">
      <c r="A17" s="37">
        <v>17</v>
      </c>
      <c r="B17" s="37" t="s">
        <v>603</v>
      </c>
      <c r="C17" s="37" t="s">
        <v>602</v>
      </c>
      <c r="D17" s="37" t="s">
        <v>604</v>
      </c>
      <c r="E17" s="37" t="s">
        <v>605</v>
      </c>
      <c r="F17" s="37" t="s">
        <v>606</v>
      </c>
      <c r="G17" s="37" t="s">
        <v>187</v>
      </c>
      <c r="H17" s="39" t="s">
        <v>877</v>
      </c>
      <c r="I17" s="39" t="str">
        <f>LEFT(SLR_Covidence_Data_Extraction__66_files[[#This Row],[Publication date]],4)</f>
        <v>2020</v>
      </c>
      <c r="J17" s="37" t="s">
        <v>187</v>
      </c>
      <c r="K17" s="37" t="s">
        <v>607</v>
      </c>
      <c r="L17" s="37" t="s">
        <v>1478</v>
      </c>
      <c r="P17" s="37" t="s">
        <v>26</v>
      </c>
      <c r="Q17" s="37" t="s">
        <v>26</v>
      </c>
      <c r="S17" s="37" t="s">
        <v>608</v>
      </c>
      <c r="T17" s="37" t="s">
        <v>609</v>
      </c>
      <c r="U17" s="37" t="s">
        <v>31</v>
      </c>
      <c r="V17" s="37" t="s">
        <v>32</v>
      </c>
      <c r="X17" s="37" t="s">
        <v>610</v>
      </c>
      <c r="Y17" s="37" t="s">
        <v>611</v>
      </c>
      <c r="Z17" s="37" t="s">
        <v>136</v>
      </c>
      <c r="AA17" s="37" t="s">
        <v>1463</v>
      </c>
      <c r="AB17" s="38">
        <v>178</v>
      </c>
      <c r="AC17" s="37" t="s">
        <v>878</v>
      </c>
      <c r="AD17" s="37" t="s">
        <v>1671</v>
      </c>
      <c r="AE17" s="37" t="s">
        <v>612</v>
      </c>
      <c r="AF17" s="37" t="s">
        <v>613</v>
      </c>
      <c r="AG17" s="37" t="s">
        <v>95</v>
      </c>
      <c r="AH17" s="37">
        <f>+COUNTIFS('Coded Segments'!$C$2:$C$913,SLR_Covidence_Data_Extraction__66_files[[#This Row],[Study ID_1]],'Coded Segments'!$D$2:$D$913,SLR_Covidence_Data_Extraction__66_files[[#Headers],[Adoption (AD) &gt; AD_High]])</f>
        <v>0</v>
      </c>
      <c r="AI17" s="37">
        <f>+COUNTIFS('Coded Segments'!$C$2:$C$913,SLR_Covidence_Data_Extraction__66_files[[#This Row],[Study ID_1]],'Coded Segments'!$D$2:$D$913,SLR_Covidence_Data_Extraction__66_files[[#Headers],[Adoption (AD) &gt; AD_Moderate]])</f>
        <v>0</v>
      </c>
      <c r="AJ17" s="37">
        <f>+COUNTIFS('Coded Segments'!$C$2:$C$913,SLR_Covidence_Data_Extraction__66_files[[#This Row],[Study ID_1]],'Coded Segments'!$D$2:$D$913,SLR_Covidence_Data_Extraction__66_files[[#Headers],[Adoption (AD) &gt; AD_Low]])</f>
        <v>0</v>
      </c>
      <c r="AK17" s="37">
        <f>+COUNTIFS('Coded Segments'!$C$2:$C$913,SLR_Covidence_Data_Extraction__66_files[[#This Row],[Study ID_1]],'Coded Segments'!$D$2:$D$913,SLR_Covidence_Data_Extraction__66_files[[#Headers],[Adoption (AD) &gt; AD_None]])</f>
        <v>0</v>
      </c>
      <c r="AL17" s="37">
        <f>+COUNTIFS('Coded Segments'!$C$2:$C$913,SLR_Covidence_Data_Extraction__66_files[[#This Row],[Study ID_1]],'Coded Segments'!$D$2:$D$913,SLR_Covidence_Data_Extraction__66_files[[#Headers],[Attitude (ATT) &gt; ATT_Negative]])</f>
        <v>3</v>
      </c>
      <c r="AM17" s="37">
        <f>+COUNTIFS('Coded Segments'!$C$2:$C$913,SLR_Covidence_Data_Extraction__66_files[[#This Row],[Study ID_1]],'Coded Segments'!$D$2:$D$913,SLR_Covidence_Data_Extraction__66_files[[#Headers],[Attitude (ATT) &gt; ATT_Positive]])</f>
        <v>2</v>
      </c>
      <c r="AN17" s="37">
        <f>+COUNTIFS('Coded Segments'!$C$2:$C$913,SLR_Covidence_Data_Extraction__66_files[[#This Row],[Study ID_1]],'Coded Segments'!$D$2:$D$913,SLR_Covidence_Data_Extraction__66_files[[#Headers],[Ethical Concerns (EC) &gt; EC_Bias]])</f>
        <v>0</v>
      </c>
      <c r="AO17" s="37">
        <f>+COUNTIFS('Coded Segments'!$C$2:$C$913,SLR_Covidence_Data_Extraction__66_files[[#This Row],[Study ID_1]],'Coded Segments'!$D$2:$D$913,SLR_Covidence_Data_Extraction__66_files[[#Headers],[Ethical Concerns (EC) &gt; EC_Copyright]])</f>
        <v>1</v>
      </c>
      <c r="AP17" s="37">
        <f>+COUNTIFS('Coded Segments'!$C$2:$C$913,SLR_Covidence_Data_Extraction__66_files[[#This Row],[Study ID_1]],'Coded Segments'!$D$2:$D$913,SLR_Covidence_Data_Extraction__66_files[[#Headers],[Ethical Concerns (EC) &gt; EC_Data safety &amp; confidentiality]])</f>
        <v>0</v>
      </c>
      <c r="AQ17" s="37">
        <f>+COUNTIFS('Coded Segments'!$C$2:$C$913,SLR_Covidence_Data_Extraction__66_files[[#This Row],[Study ID_1]],'Coded Segments'!$D$2:$D$913,SLR_Covidence_Data_Extraction__66_files[[#Headers],[Ethical Concerns (EC) &gt; EC_Environmental sustainability]])</f>
        <v>0</v>
      </c>
      <c r="AR17" s="37">
        <f>+COUNTIFS('Coded Segments'!$C$2:$C$913,SLR_Covidence_Data_Extraction__66_files[[#This Row],[Study ID_1]],'Coded Segments'!$D$2:$D$913,SLR_Covidence_Data_Extraction__66_files[[#Headers],[Ethical Concerns (EC) &gt; EC_Payment]])</f>
        <v>1</v>
      </c>
      <c r="AS17" s="37">
        <f>+COUNTIFS('Coded Segments'!$C$2:$C$912,SLR_Covidence_Data_Extraction__66_files[[#This Row],[Study ID_1]],'Coded Segments'!$D$2:$D$912,SLR_Covidence_Data_Extraction__66_files[[#Headers],[Ethical Concerns (EC) &gt; EC_Quality]])</f>
        <v>2</v>
      </c>
      <c r="AT17" s="37">
        <f>+COUNTIFS('Coded Segments'!$C$2:$C$913,SLR_Covidence_Data_Extraction__66_files[[#This Row],[Study ID_1]],'Coded Segments'!$D$2:$D$913,SLR_Covidence_Data_Extraction__66_files[[#Headers],[Ethical Concerns (EC) &gt; EC_Translators’ role &amp; status]])</f>
        <v>2</v>
      </c>
      <c r="AU17" s="37">
        <f>+COUNTIFS('Coded Segments'!$C$2:$C$913,SLR_Covidence_Data_Extraction__66_files[[#This Row],[Study ID_1]],'Coded Segments'!$D$2:$D$913,SLR_Covidence_Data_Extraction__66_files[[#Headers],[Ethical Concerns (EC) &gt; EC_Other]])</f>
        <v>0</v>
      </c>
      <c r="AV17" s="37">
        <f>+COUNTIFS('Coded Segments'!$C$2:$C$913,SLR_Covidence_Data_Extraction__66_files[[#This Row],[Study ID_1]],'Coded Segments'!$D$2:$D$913,SLR_Covidence_Data_Extraction__66_files[[#Headers],[Literacy (LIT) &gt; LIT_Generic]])</f>
        <v>0</v>
      </c>
      <c r="AW17" s="37">
        <f>+COUNTIFS('Coded Segments'!$C$2:$C$913,SLR_Covidence_Data_Extraction__66_files[[#This Row],[Study ID_1]],'Coded Segments'!$D$2:$D$913,SLR_Covidence_Data_Extraction__66_files[[#Headers],[Literacy (LIT) &gt; LIT_None ]])</f>
        <v>0</v>
      </c>
      <c r="AX17" s="37">
        <f>+COUNTIFS('Coded Segments'!$C$2:$C$913,SLR_Covidence_Data_Extraction__66_files[[#This Row],[Study ID_1]],'Coded Segments'!$D$2:$D$913,SLR_Covidence_Data_Extraction__66_files[[#Headers],[Literacy (LIT) &gt; LIT_Low ]])</f>
        <v>0</v>
      </c>
      <c r="AY17" s="37">
        <f>+COUNTIFS('Coded Segments'!$C$2:$C$913,SLR_Covidence_Data_Extraction__66_files[[#This Row],[Study ID_1]],'Coded Segments'!$D$2:$D$913,SLR_Covidence_Data_Extraction__66_files[[#Headers],[Literacy (LIT) &gt; LIT_High]])</f>
        <v>0</v>
      </c>
    </row>
    <row r="18" spans="1:51" x14ac:dyDescent="0.25">
      <c r="A18" s="37">
        <v>46</v>
      </c>
      <c r="B18" s="37" t="s">
        <v>411</v>
      </c>
      <c r="C18" s="37" t="s">
        <v>410</v>
      </c>
      <c r="D18" s="37" t="s">
        <v>412</v>
      </c>
      <c r="E18" s="37" t="s">
        <v>413</v>
      </c>
      <c r="F18" s="37" t="s">
        <v>414</v>
      </c>
      <c r="G18" s="37" t="s">
        <v>70</v>
      </c>
      <c r="H18" s="39" t="s">
        <v>855</v>
      </c>
      <c r="I18" s="39" t="str">
        <f>LEFT(SLR_Covidence_Data_Extraction__66_files[[#This Row],[Publication date]],4)</f>
        <v>2020</v>
      </c>
      <c r="J18" s="37" t="s">
        <v>70</v>
      </c>
      <c r="K18" s="37" t="s">
        <v>415</v>
      </c>
      <c r="L18" s="37" t="s">
        <v>1478</v>
      </c>
      <c r="P18" s="37" t="s">
        <v>28</v>
      </c>
      <c r="Q18" s="37" t="s">
        <v>28</v>
      </c>
      <c r="R18" s="37">
        <v>33</v>
      </c>
      <c r="S18" s="37" t="s">
        <v>26</v>
      </c>
      <c r="T18" s="37" t="s">
        <v>26</v>
      </c>
      <c r="U18" s="37" t="s">
        <v>77</v>
      </c>
      <c r="V18" s="37" t="s">
        <v>32</v>
      </c>
      <c r="X18" s="37" t="s">
        <v>26</v>
      </c>
      <c r="Y18" s="37" t="s">
        <v>416</v>
      </c>
      <c r="Z18" s="37" t="s">
        <v>136</v>
      </c>
      <c r="AA18" s="37" t="s">
        <v>1463</v>
      </c>
      <c r="AB18" s="38">
        <f>4+50</f>
        <v>54</v>
      </c>
      <c r="AC18" s="37" t="s">
        <v>856</v>
      </c>
      <c r="AD18" s="37" t="s">
        <v>417</v>
      </c>
      <c r="AE18" s="37" t="s">
        <v>418</v>
      </c>
      <c r="AF18" s="37" t="s">
        <v>419</v>
      </c>
      <c r="AG18" s="37" t="s">
        <v>420</v>
      </c>
      <c r="AH18" s="37">
        <f>+COUNTIFS('Coded Segments'!$C$2:$C$913,SLR_Covidence_Data_Extraction__66_files[[#This Row],[Study ID_1]],'Coded Segments'!$D$2:$D$913,SLR_Covidence_Data_Extraction__66_files[[#Headers],[Adoption (AD) &gt; AD_High]])</f>
        <v>0</v>
      </c>
      <c r="AI18" s="37">
        <f>+COUNTIFS('Coded Segments'!$C$2:$C$913,SLR_Covidence_Data_Extraction__66_files[[#This Row],[Study ID_1]],'Coded Segments'!$D$2:$D$913,SLR_Covidence_Data_Extraction__66_files[[#Headers],[Adoption (AD) &gt; AD_Moderate]])</f>
        <v>0</v>
      </c>
      <c r="AJ18" s="37">
        <f>+COUNTIFS('Coded Segments'!$C$2:$C$913,SLR_Covidence_Data_Extraction__66_files[[#This Row],[Study ID_1]],'Coded Segments'!$D$2:$D$913,SLR_Covidence_Data_Extraction__66_files[[#Headers],[Adoption (AD) &gt; AD_Low]])</f>
        <v>0</v>
      </c>
      <c r="AK18" s="37">
        <f>+COUNTIFS('Coded Segments'!$C$2:$C$913,SLR_Covidence_Data_Extraction__66_files[[#This Row],[Study ID_1]],'Coded Segments'!$D$2:$D$913,SLR_Covidence_Data_Extraction__66_files[[#Headers],[Adoption (AD) &gt; AD_None]])</f>
        <v>0</v>
      </c>
      <c r="AL18" s="37">
        <f>+COUNTIFS('Coded Segments'!$C$2:$C$913,SLR_Covidence_Data_Extraction__66_files[[#This Row],[Study ID_1]],'Coded Segments'!$D$2:$D$913,SLR_Covidence_Data_Extraction__66_files[[#Headers],[Attitude (ATT) &gt; ATT_Negative]])</f>
        <v>4</v>
      </c>
      <c r="AM18" s="37">
        <f>+COUNTIFS('Coded Segments'!$C$2:$C$913,SLR_Covidence_Data_Extraction__66_files[[#This Row],[Study ID_1]],'Coded Segments'!$D$2:$D$913,SLR_Covidence_Data_Extraction__66_files[[#Headers],[Attitude (ATT) &gt; ATT_Positive]])</f>
        <v>1</v>
      </c>
      <c r="AN18" s="37">
        <f>+COUNTIFS('Coded Segments'!$C$2:$C$913,SLR_Covidence_Data_Extraction__66_files[[#This Row],[Study ID_1]],'Coded Segments'!$D$2:$D$913,SLR_Covidence_Data_Extraction__66_files[[#Headers],[Ethical Concerns (EC) &gt; EC_Bias]])</f>
        <v>0</v>
      </c>
      <c r="AO18" s="37">
        <f>+COUNTIFS('Coded Segments'!$C$2:$C$913,SLR_Covidence_Data_Extraction__66_files[[#This Row],[Study ID_1]],'Coded Segments'!$D$2:$D$913,SLR_Covidence_Data_Extraction__66_files[[#Headers],[Ethical Concerns (EC) &gt; EC_Copyright]])</f>
        <v>0</v>
      </c>
      <c r="AP18" s="37">
        <f>+COUNTIFS('Coded Segments'!$C$2:$C$913,SLR_Covidence_Data_Extraction__66_files[[#This Row],[Study ID_1]],'Coded Segments'!$D$2:$D$913,SLR_Covidence_Data_Extraction__66_files[[#Headers],[Ethical Concerns (EC) &gt; EC_Data safety &amp; confidentiality]])</f>
        <v>0</v>
      </c>
      <c r="AQ18" s="37">
        <f>+COUNTIFS('Coded Segments'!$C$2:$C$913,SLR_Covidence_Data_Extraction__66_files[[#This Row],[Study ID_1]],'Coded Segments'!$D$2:$D$913,SLR_Covidence_Data_Extraction__66_files[[#Headers],[Ethical Concerns (EC) &gt; EC_Environmental sustainability]])</f>
        <v>0</v>
      </c>
      <c r="AR18" s="37">
        <f>+COUNTIFS('Coded Segments'!$C$2:$C$913,SLR_Covidence_Data_Extraction__66_files[[#This Row],[Study ID_1]],'Coded Segments'!$D$2:$D$913,SLR_Covidence_Data_Extraction__66_files[[#Headers],[Ethical Concerns (EC) &gt; EC_Payment]])</f>
        <v>2</v>
      </c>
      <c r="AS18" s="37">
        <f>+COUNTIFS('Coded Segments'!$C$2:$C$912,SLR_Covidence_Data_Extraction__66_files[[#This Row],[Study ID_1]],'Coded Segments'!$D$2:$D$912,SLR_Covidence_Data_Extraction__66_files[[#Headers],[Ethical Concerns (EC) &gt; EC_Quality]])</f>
        <v>1</v>
      </c>
      <c r="AT18" s="37">
        <f>+COUNTIFS('Coded Segments'!$C$2:$C$913,SLR_Covidence_Data_Extraction__66_files[[#This Row],[Study ID_1]],'Coded Segments'!$D$2:$D$913,SLR_Covidence_Data_Extraction__66_files[[#Headers],[Ethical Concerns (EC) &gt; EC_Translators’ role &amp; status]])</f>
        <v>2</v>
      </c>
      <c r="AU18" s="37">
        <f>+COUNTIFS('Coded Segments'!$C$2:$C$913,SLR_Covidence_Data_Extraction__66_files[[#This Row],[Study ID_1]],'Coded Segments'!$D$2:$D$913,SLR_Covidence_Data_Extraction__66_files[[#Headers],[Ethical Concerns (EC) &gt; EC_Other]])</f>
        <v>0</v>
      </c>
      <c r="AV18" s="37">
        <f>+COUNTIFS('Coded Segments'!$C$2:$C$913,SLR_Covidence_Data_Extraction__66_files[[#This Row],[Study ID_1]],'Coded Segments'!$D$2:$D$913,SLR_Covidence_Data_Extraction__66_files[[#Headers],[Literacy (LIT) &gt; LIT_Generic]])</f>
        <v>0</v>
      </c>
      <c r="AW18" s="37">
        <f>+COUNTIFS('Coded Segments'!$C$2:$C$913,SLR_Covidence_Data_Extraction__66_files[[#This Row],[Study ID_1]],'Coded Segments'!$D$2:$D$913,SLR_Covidence_Data_Extraction__66_files[[#Headers],[Literacy (LIT) &gt; LIT_None ]])</f>
        <v>0</v>
      </c>
      <c r="AX18" s="37">
        <f>+COUNTIFS('Coded Segments'!$C$2:$C$913,SLR_Covidence_Data_Extraction__66_files[[#This Row],[Study ID_1]],'Coded Segments'!$D$2:$D$913,SLR_Covidence_Data_Extraction__66_files[[#Headers],[Literacy (LIT) &gt; LIT_Low ]])</f>
        <v>0</v>
      </c>
      <c r="AY18" s="37">
        <f>+COUNTIFS('Coded Segments'!$C$2:$C$913,SLR_Covidence_Data_Extraction__66_files[[#This Row],[Study ID_1]],'Coded Segments'!$D$2:$D$913,SLR_Covidence_Data_Extraction__66_files[[#Headers],[Literacy (LIT) &gt; LIT_High]])</f>
        <v>1</v>
      </c>
    </row>
    <row r="19" spans="1:51" x14ac:dyDescent="0.25">
      <c r="A19" s="37">
        <v>35</v>
      </c>
      <c r="B19" s="37" t="s">
        <v>474</v>
      </c>
      <c r="C19" s="37" t="s">
        <v>473</v>
      </c>
      <c r="D19" s="37" t="s">
        <v>475</v>
      </c>
      <c r="E19" s="37" t="s">
        <v>476</v>
      </c>
      <c r="F19" s="37" t="s">
        <v>477</v>
      </c>
      <c r="G19" s="37" t="s">
        <v>728</v>
      </c>
      <c r="H19" s="39" t="s">
        <v>863</v>
      </c>
      <c r="I19" s="39" t="str">
        <f>LEFT(SLR_Covidence_Data_Extraction__66_files[[#This Row],[Publication date]],4)</f>
        <v>2022</v>
      </c>
      <c r="J19" s="37" t="s">
        <v>101</v>
      </c>
      <c r="K19" s="37" t="s">
        <v>478</v>
      </c>
      <c r="L19" s="37" t="s">
        <v>1478</v>
      </c>
      <c r="P19" s="37" t="s">
        <v>28</v>
      </c>
      <c r="Q19" s="37" t="s">
        <v>28</v>
      </c>
      <c r="R19" s="37">
        <v>31</v>
      </c>
      <c r="S19" s="37" t="s">
        <v>479</v>
      </c>
      <c r="T19" s="37" t="s">
        <v>480</v>
      </c>
      <c r="U19" s="37" t="s">
        <v>481</v>
      </c>
      <c r="V19" s="37" t="s">
        <v>32</v>
      </c>
      <c r="X19" s="37" t="s">
        <v>26</v>
      </c>
      <c r="Y19" s="37" t="s">
        <v>482</v>
      </c>
      <c r="Z19" s="37" t="s">
        <v>136</v>
      </c>
      <c r="AA19" s="37" t="s">
        <v>1464</v>
      </c>
      <c r="AB19" s="38">
        <v>150</v>
      </c>
      <c r="AC19" s="37" t="s">
        <v>864</v>
      </c>
      <c r="AD19" s="37" t="s">
        <v>483</v>
      </c>
      <c r="AE19" s="37" t="s">
        <v>484</v>
      </c>
      <c r="AF19" s="37" t="s">
        <v>485</v>
      </c>
      <c r="AG19" s="37" t="s">
        <v>111</v>
      </c>
      <c r="AH19" s="37">
        <f>+COUNTIFS('Coded Segments'!$C$2:$C$913,SLR_Covidence_Data_Extraction__66_files[[#This Row],[Study ID_1]],'Coded Segments'!$D$2:$D$913,SLR_Covidence_Data_Extraction__66_files[[#Headers],[Adoption (AD) &gt; AD_High]])</f>
        <v>0</v>
      </c>
      <c r="AI19" s="37">
        <f>+COUNTIFS('Coded Segments'!$C$2:$C$913,SLR_Covidence_Data_Extraction__66_files[[#This Row],[Study ID_1]],'Coded Segments'!$D$2:$D$913,SLR_Covidence_Data_Extraction__66_files[[#Headers],[Adoption (AD) &gt; AD_Moderate]])</f>
        <v>0</v>
      </c>
      <c r="AJ19" s="37">
        <f>+COUNTIFS('Coded Segments'!$C$2:$C$913,SLR_Covidence_Data_Extraction__66_files[[#This Row],[Study ID_1]],'Coded Segments'!$D$2:$D$913,SLR_Covidence_Data_Extraction__66_files[[#Headers],[Adoption (AD) &gt; AD_Low]])</f>
        <v>1</v>
      </c>
      <c r="AK19" s="37">
        <f>+COUNTIFS('Coded Segments'!$C$2:$C$913,SLR_Covidence_Data_Extraction__66_files[[#This Row],[Study ID_1]],'Coded Segments'!$D$2:$D$913,SLR_Covidence_Data_Extraction__66_files[[#Headers],[Adoption (AD) &gt; AD_None]])</f>
        <v>0</v>
      </c>
      <c r="AL19" s="37">
        <f>+COUNTIFS('Coded Segments'!$C$2:$C$913,SLR_Covidence_Data_Extraction__66_files[[#This Row],[Study ID_1]],'Coded Segments'!$D$2:$D$913,SLR_Covidence_Data_Extraction__66_files[[#Headers],[Attitude (ATT) &gt; ATT_Negative]])</f>
        <v>6</v>
      </c>
      <c r="AM19" s="37">
        <f>+COUNTIFS('Coded Segments'!$C$2:$C$913,SLR_Covidence_Data_Extraction__66_files[[#This Row],[Study ID_1]],'Coded Segments'!$D$2:$D$913,SLR_Covidence_Data_Extraction__66_files[[#Headers],[Attitude (ATT) &gt; ATT_Positive]])</f>
        <v>2</v>
      </c>
      <c r="AN19" s="37">
        <f>+COUNTIFS('Coded Segments'!$C$2:$C$913,SLR_Covidence_Data_Extraction__66_files[[#This Row],[Study ID_1]],'Coded Segments'!$D$2:$D$913,SLR_Covidence_Data_Extraction__66_files[[#Headers],[Ethical Concerns (EC) &gt; EC_Bias]])</f>
        <v>0</v>
      </c>
      <c r="AO19" s="37">
        <f>+COUNTIFS('Coded Segments'!$C$2:$C$913,SLR_Covidence_Data_Extraction__66_files[[#This Row],[Study ID_1]],'Coded Segments'!$D$2:$D$913,SLR_Covidence_Data_Extraction__66_files[[#Headers],[Ethical Concerns (EC) &gt; EC_Copyright]])</f>
        <v>0</v>
      </c>
      <c r="AP19" s="37">
        <f>+COUNTIFS('Coded Segments'!$C$2:$C$913,SLR_Covidence_Data_Extraction__66_files[[#This Row],[Study ID_1]],'Coded Segments'!$D$2:$D$913,SLR_Covidence_Data_Extraction__66_files[[#Headers],[Ethical Concerns (EC) &gt; EC_Data safety &amp; confidentiality]])</f>
        <v>0</v>
      </c>
      <c r="AQ19" s="37">
        <f>+COUNTIFS('Coded Segments'!$C$2:$C$913,SLR_Covidence_Data_Extraction__66_files[[#This Row],[Study ID_1]],'Coded Segments'!$D$2:$D$913,SLR_Covidence_Data_Extraction__66_files[[#Headers],[Ethical Concerns (EC) &gt; EC_Environmental sustainability]])</f>
        <v>0</v>
      </c>
      <c r="AR19" s="37">
        <f>+COUNTIFS('Coded Segments'!$C$2:$C$913,SLR_Covidence_Data_Extraction__66_files[[#This Row],[Study ID_1]],'Coded Segments'!$D$2:$D$913,SLR_Covidence_Data_Extraction__66_files[[#Headers],[Ethical Concerns (EC) &gt; EC_Payment]])</f>
        <v>0</v>
      </c>
      <c r="AS19" s="37">
        <f>+COUNTIFS('Coded Segments'!$C$2:$C$912,SLR_Covidence_Data_Extraction__66_files[[#This Row],[Study ID_1]],'Coded Segments'!$D$2:$D$912,SLR_Covidence_Data_Extraction__66_files[[#Headers],[Ethical Concerns (EC) &gt; EC_Quality]])</f>
        <v>3</v>
      </c>
      <c r="AT19" s="37">
        <f>+COUNTIFS('Coded Segments'!$C$2:$C$913,SLR_Covidence_Data_Extraction__66_files[[#This Row],[Study ID_1]],'Coded Segments'!$D$2:$D$913,SLR_Covidence_Data_Extraction__66_files[[#Headers],[Ethical Concerns (EC) &gt; EC_Translators’ role &amp; status]])</f>
        <v>3</v>
      </c>
      <c r="AU19" s="37">
        <f>+COUNTIFS('Coded Segments'!$C$2:$C$913,SLR_Covidence_Data_Extraction__66_files[[#This Row],[Study ID_1]],'Coded Segments'!$D$2:$D$913,SLR_Covidence_Data_Extraction__66_files[[#Headers],[Ethical Concerns (EC) &gt; EC_Other]])</f>
        <v>0</v>
      </c>
      <c r="AV19" s="37">
        <f>+COUNTIFS('Coded Segments'!$C$2:$C$913,SLR_Covidence_Data_Extraction__66_files[[#This Row],[Study ID_1]],'Coded Segments'!$D$2:$D$913,SLR_Covidence_Data_Extraction__66_files[[#Headers],[Literacy (LIT) &gt; LIT_Generic]])</f>
        <v>0</v>
      </c>
      <c r="AW19" s="37">
        <f>+COUNTIFS('Coded Segments'!$C$2:$C$913,SLR_Covidence_Data_Extraction__66_files[[#This Row],[Study ID_1]],'Coded Segments'!$D$2:$D$913,SLR_Covidence_Data_Extraction__66_files[[#Headers],[Literacy (LIT) &gt; LIT_None ]])</f>
        <v>0</v>
      </c>
      <c r="AX19" s="37">
        <f>+COUNTIFS('Coded Segments'!$C$2:$C$913,SLR_Covidence_Data_Extraction__66_files[[#This Row],[Study ID_1]],'Coded Segments'!$D$2:$D$913,SLR_Covidence_Data_Extraction__66_files[[#Headers],[Literacy (LIT) &gt; LIT_Low ]])</f>
        <v>1</v>
      </c>
      <c r="AY19" s="37">
        <f>+COUNTIFS('Coded Segments'!$C$2:$C$913,SLR_Covidence_Data_Extraction__66_files[[#This Row],[Study ID_1]],'Coded Segments'!$D$2:$D$913,SLR_Covidence_Data_Extraction__66_files[[#Headers],[Literacy (LIT) &gt; LIT_High]])</f>
        <v>2</v>
      </c>
    </row>
    <row r="20" spans="1:51" x14ac:dyDescent="0.25">
      <c r="A20" s="37">
        <v>33</v>
      </c>
      <c r="B20" s="37" t="s">
        <v>500</v>
      </c>
      <c r="C20" s="37" t="s">
        <v>498</v>
      </c>
      <c r="D20" s="37" t="s">
        <v>499</v>
      </c>
      <c r="E20" s="37" t="s">
        <v>501</v>
      </c>
      <c r="F20" s="37" t="s">
        <v>502</v>
      </c>
      <c r="G20" s="37" t="s">
        <v>1436</v>
      </c>
      <c r="H20" s="39" t="s">
        <v>867</v>
      </c>
      <c r="I20" s="39" t="str">
        <f>LEFT(SLR_Covidence_Data_Extraction__66_files[[#This Row],[Publication date]],4)</f>
        <v>2022</v>
      </c>
      <c r="J20" s="37" t="s">
        <v>503</v>
      </c>
      <c r="K20" s="37" t="s">
        <v>504</v>
      </c>
      <c r="L20" s="37" t="s">
        <v>1478</v>
      </c>
      <c r="P20" s="37" t="s">
        <v>505</v>
      </c>
      <c r="Q20" s="37" t="s">
        <v>28</v>
      </c>
      <c r="R20" s="37">
        <v>43</v>
      </c>
      <c r="S20" s="37" t="s">
        <v>26</v>
      </c>
      <c r="T20" s="37" t="s">
        <v>26</v>
      </c>
      <c r="U20" s="37" t="s">
        <v>228</v>
      </c>
      <c r="V20" s="37" t="s">
        <v>32</v>
      </c>
      <c r="X20" s="37" t="s">
        <v>506</v>
      </c>
      <c r="Y20" s="37" t="s">
        <v>507</v>
      </c>
      <c r="Z20" s="37" t="s">
        <v>136</v>
      </c>
      <c r="AA20" s="37" t="s">
        <v>1463</v>
      </c>
      <c r="AB20" s="38">
        <v>94</v>
      </c>
      <c r="AC20" s="37" t="s">
        <v>868</v>
      </c>
      <c r="AD20" s="37" t="s">
        <v>1673</v>
      </c>
      <c r="AE20" s="37" t="s">
        <v>508</v>
      </c>
      <c r="AF20" s="37" t="s">
        <v>509</v>
      </c>
      <c r="AG20" s="37" t="s">
        <v>180</v>
      </c>
      <c r="AH20" s="37">
        <f>+COUNTIFS('Coded Segments'!$C$2:$C$913,SLR_Covidence_Data_Extraction__66_files[[#This Row],[Study ID_1]],'Coded Segments'!$D$2:$D$913,SLR_Covidence_Data_Extraction__66_files[[#Headers],[Adoption (AD) &gt; AD_High]])</f>
        <v>2</v>
      </c>
      <c r="AI20" s="37">
        <f>+COUNTIFS('Coded Segments'!$C$2:$C$913,SLR_Covidence_Data_Extraction__66_files[[#This Row],[Study ID_1]],'Coded Segments'!$D$2:$D$913,SLR_Covidence_Data_Extraction__66_files[[#Headers],[Adoption (AD) &gt; AD_Moderate]])</f>
        <v>0</v>
      </c>
      <c r="AJ20" s="37">
        <f>+COUNTIFS('Coded Segments'!$C$2:$C$913,SLR_Covidence_Data_Extraction__66_files[[#This Row],[Study ID_1]],'Coded Segments'!$D$2:$D$913,SLR_Covidence_Data_Extraction__66_files[[#Headers],[Adoption (AD) &gt; AD_Low]])</f>
        <v>0</v>
      </c>
      <c r="AK20" s="37">
        <f>+COUNTIFS('Coded Segments'!$C$2:$C$913,SLR_Covidence_Data_Extraction__66_files[[#This Row],[Study ID_1]],'Coded Segments'!$D$2:$D$913,SLR_Covidence_Data_Extraction__66_files[[#Headers],[Adoption (AD) &gt; AD_None]])</f>
        <v>0</v>
      </c>
      <c r="AL20" s="37">
        <f>+COUNTIFS('Coded Segments'!$C$2:$C$913,SLR_Covidence_Data_Extraction__66_files[[#This Row],[Study ID_1]],'Coded Segments'!$D$2:$D$913,SLR_Covidence_Data_Extraction__66_files[[#Headers],[Attitude (ATT) &gt; ATT_Negative]])</f>
        <v>0</v>
      </c>
      <c r="AM20" s="37">
        <f>+COUNTIFS('Coded Segments'!$C$2:$C$913,SLR_Covidence_Data_Extraction__66_files[[#This Row],[Study ID_1]],'Coded Segments'!$D$2:$D$913,SLR_Covidence_Data_Extraction__66_files[[#Headers],[Attitude (ATT) &gt; ATT_Positive]])</f>
        <v>5</v>
      </c>
      <c r="AN20" s="37">
        <f>+COUNTIFS('Coded Segments'!$C$2:$C$913,SLR_Covidence_Data_Extraction__66_files[[#This Row],[Study ID_1]],'Coded Segments'!$D$2:$D$913,SLR_Covidence_Data_Extraction__66_files[[#Headers],[Ethical Concerns (EC) &gt; EC_Bias]])</f>
        <v>0</v>
      </c>
      <c r="AO20" s="37">
        <f>+COUNTIFS('Coded Segments'!$C$2:$C$913,SLR_Covidence_Data_Extraction__66_files[[#This Row],[Study ID_1]],'Coded Segments'!$D$2:$D$913,SLR_Covidence_Data_Extraction__66_files[[#Headers],[Ethical Concerns (EC) &gt; EC_Copyright]])</f>
        <v>0</v>
      </c>
      <c r="AP20" s="37">
        <f>+COUNTIFS('Coded Segments'!$C$2:$C$913,SLR_Covidence_Data_Extraction__66_files[[#This Row],[Study ID_1]],'Coded Segments'!$D$2:$D$913,SLR_Covidence_Data_Extraction__66_files[[#Headers],[Ethical Concerns (EC) &gt; EC_Data safety &amp; confidentiality]])</f>
        <v>0</v>
      </c>
      <c r="AQ20" s="37">
        <f>+COUNTIFS('Coded Segments'!$C$2:$C$913,SLR_Covidence_Data_Extraction__66_files[[#This Row],[Study ID_1]],'Coded Segments'!$D$2:$D$913,SLR_Covidence_Data_Extraction__66_files[[#Headers],[Ethical Concerns (EC) &gt; EC_Environmental sustainability]])</f>
        <v>0</v>
      </c>
      <c r="AR20" s="37">
        <f>+COUNTIFS('Coded Segments'!$C$2:$C$913,SLR_Covidence_Data_Extraction__66_files[[#This Row],[Study ID_1]],'Coded Segments'!$D$2:$D$913,SLR_Covidence_Data_Extraction__66_files[[#Headers],[Ethical Concerns (EC) &gt; EC_Payment]])</f>
        <v>2</v>
      </c>
      <c r="AS20" s="37">
        <f>+COUNTIFS('Coded Segments'!$C$2:$C$912,SLR_Covidence_Data_Extraction__66_files[[#This Row],[Study ID_1]],'Coded Segments'!$D$2:$D$912,SLR_Covidence_Data_Extraction__66_files[[#Headers],[Ethical Concerns (EC) &gt; EC_Quality]])</f>
        <v>2</v>
      </c>
      <c r="AT20" s="37">
        <f>+COUNTIFS('Coded Segments'!$C$2:$C$913,SLR_Covidence_Data_Extraction__66_files[[#This Row],[Study ID_1]],'Coded Segments'!$D$2:$D$913,SLR_Covidence_Data_Extraction__66_files[[#Headers],[Ethical Concerns (EC) &gt; EC_Translators’ role &amp; status]])</f>
        <v>0</v>
      </c>
      <c r="AU20" s="37">
        <f>+COUNTIFS('Coded Segments'!$C$2:$C$913,SLR_Covidence_Data_Extraction__66_files[[#This Row],[Study ID_1]],'Coded Segments'!$D$2:$D$913,SLR_Covidence_Data_Extraction__66_files[[#Headers],[Ethical Concerns (EC) &gt; EC_Other]])</f>
        <v>0</v>
      </c>
      <c r="AV20" s="37">
        <f>+COUNTIFS('Coded Segments'!$C$2:$C$913,SLR_Covidence_Data_Extraction__66_files[[#This Row],[Study ID_1]],'Coded Segments'!$D$2:$D$913,SLR_Covidence_Data_Extraction__66_files[[#Headers],[Literacy (LIT) &gt; LIT_Generic]])</f>
        <v>0</v>
      </c>
      <c r="AW20" s="37">
        <f>+COUNTIFS('Coded Segments'!$C$2:$C$913,SLR_Covidence_Data_Extraction__66_files[[#This Row],[Study ID_1]],'Coded Segments'!$D$2:$D$913,SLR_Covidence_Data_Extraction__66_files[[#Headers],[Literacy (LIT) &gt; LIT_None ]])</f>
        <v>0</v>
      </c>
      <c r="AX20" s="37">
        <f>+COUNTIFS('Coded Segments'!$C$2:$C$913,SLR_Covidence_Data_Extraction__66_files[[#This Row],[Study ID_1]],'Coded Segments'!$D$2:$D$913,SLR_Covidence_Data_Extraction__66_files[[#Headers],[Literacy (LIT) &gt; LIT_Low ]])</f>
        <v>0</v>
      </c>
      <c r="AY20" s="37">
        <f>+COUNTIFS('Coded Segments'!$C$2:$C$913,SLR_Covidence_Data_Extraction__66_files[[#This Row],[Study ID_1]],'Coded Segments'!$D$2:$D$913,SLR_Covidence_Data_Extraction__66_files[[#Headers],[Literacy (LIT) &gt; LIT_High]])</f>
        <v>1</v>
      </c>
    </row>
    <row r="21" spans="1:51" x14ac:dyDescent="0.25">
      <c r="A21" s="37">
        <v>75</v>
      </c>
      <c r="B21" s="37" t="s">
        <v>143</v>
      </c>
      <c r="C21" s="37" t="s">
        <v>141</v>
      </c>
      <c r="D21" s="37" t="s">
        <v>142</v>
      </c>
      <c r="E21" s="37" t="s">
        <v>144</v>
      </c>
      <c r="F21" s="37" t="s">
        <v>145</v>
      </c>
      <c r="G21" s="37" t="s">
        <v>1477</v>
      </c>
      <c r="H21" s="39" t="s">
        <v>819</v>
      </c>
      <c r="I21" s="39" t="str">
        <f>LEFT(SLR_Covidence_Data_Extraction__66_files[[#This Row],[Publication date]],4)</f>
        <v>2022</v>
      </c>
      <c r="J21" s="37" t="s">
        <v>146</v>
      </c>
      <c r="K21" s="37" t="s">
        <v>147</v>
      </c>
      <c r="L21" s="37" t="s">
        <v>1478</v>
      </c>
      <c r="O21" s="37" t="s">
        <v>913</v>
      </c>
      <c r="P21" s="37" t="s">
        <v>26</v>
      </c>
      <c r="Q21" s="37" t="s">
        <v>26</v>
      </c>
      <c r="S21" s="37" t="s">
        <v>26</v>
      </c>
      <c r="T21" s="37" t="s">
        <v>26</v>
      </c>
      <c r="U21" s="37" t="s">
        <v>77</v>
      </c>
      <c r="W21" s="37" t="s">
        <v>148</v>
      </c>
      <c r="X21" s="37" t="s">
        <v>149</v>
      </c>
      <c r="Y21" s="37" t="s">
        <v>150</v>
      </c>
      <c r="Z21" s="37" t="s">
        <v>136</v>
      </c>
      <c r="AA21" s="37" t="s">
        <v>1463</v>
      </c>
      <c r="AB21" s="38">
        <v>26</v>
      </c>
      <c r="AC21" s="37" t="s">
        <v>151</v>
      </c>
      <c r="AD21" s="37" t="s">
        <v>1669</v>
      </c>
      <c r="AE21" s="37" t="s">
        <v>1679</v>
      </c>
      <c r="AF21" s="37" t="s">
        <v>152</v>
      </c>
      <c r="AG21" s="37" t="s">
        <v>140</v>
      </c>
      <c r="AH21" s="37">
        <f>+COUNTIFS('Coded Segments'!$C$2:$C$913,SLR_Covidence_Data_Extraction__66_files[[#This Row],[Study ID_1]],'Coded Segments'!$D$2:$D$913,SLR_Covidence_Data_Extraction__66_files[[#Headers],[Adoption (AD) &gt; AD_High]])</f>
        <v>1</v>
      </c>
      <c r="AI21" s="37">
        <f>+COUNTIFS('Coded Segments'!$C$2:$C$913,SLR_Covidence_Data_Extraction__66_files[[#This Row],[Study ID_1]],'Coded Segments'!$D$2:$D$913,SLR_Covidence_Data_Extraction__66_files[[#Headers],[Adoption (AD) &gt; AD_Moderate]])</f>
        <v>0</v>
      </c>
      <c r="AJ21" s="37">
        <f>+COUNTIFS('Coded Segments'!$C$2:$C$913,SLR_Covidence_Data_Extraction__66_files[[#This Row],[Study ID_1]],'Coded Segments'!$D$2:$D$913,SLR_Covidence_Data_Extraction__66_files[[#Headers],[Adoption (AD) &gt; AD_Low]])</f>
        <v>0</v>
      </c>
      <c r="AK21" s="37">
        <f>+COUNTIFS('Coded Segments'!$C$2:$C$913,SLR_Covidence_Data_Extraction__66_files[[#This Row],[Study ID_1]],'Coded Segments'!$D$2:$D$913,SLR_Covidence_Data_Extraction__66_files[[#Headers],[Adoption (AD) &gt; AD_None]])</f>
        <v>0</v>
      </c>
      <c r="AL21" s="37">
        <f>+COUNTIFS('Coded Segments'!$C$2:$C$913,SLR_Covidence_Data_Extraction__66_files[[#This Row],[Study ID_1]],'Coded Segments'!$D$2:$D$913,SLR_Covidence_Data_Extraction__66_files[[#Headers],[Attitude (ATT) &gt; ATT_Negative]])</f>
        <v>0</v>
      </c>
      <c r="AM21" s="37">
        <f>+COUNTIFS('Coded Segments'!$C$2:$C$913,SLR_Covidence_Data_Extraction__66_files[[#This Row],[Study ID_1]],'Coded Segments'!$D$2:$D$913,SLR_Covidence_Data_Extraction__66_files[[#Headers],[Attitude (ATT) &gt; ATT_Positive]])</f>
        <v>7</v>
      </c>
      <c r="AN21" s="37">
        <f>+COUNTIFS('Coded Segments'!$C$2:$C$913,SLR_Covidence_Data_Extraction__66_files[[#This Row],[Study ID_1]],'Coded Segments'!$D$2:$D$913,SLR_Covidence_Data_Extraction__66_files[[#Headers],[Ethical Concerns (EC) &gt; EC_Bias]])</f>
        <v>0</v>
      </c>
      <c r="AO21" s="37">
        <f>+COUNTIFS('Coded Segments'!$C$2:$C$913,SLR_Covidence_Data_Extraction__66_files[[#This Row],[Study ID_1]],'Coded Segments'!$D$2:$D$913,SLR_Covidence_Data_Extraction__66_files[[#Headers],[Ethical Concerns (EC) &gt; EC_Copyright]])</f>
        <v>0</v>
      </c>
      <c r="AP21" s="37">
        <f>+COUNTIFS('Coded Segments'!$C$2:$C$913,SLR_Covidence_Data_Extraction__66_files[[#This Row],[Study ID_1]],'Coded Segments'!$D$2:$D$913,SLR_Covidence_Data_Extraction__66_files[[#Headers],[Ethical Concerns (EC) &gt; EC_Data safety &amp; confidentiality]])</f>
        <v>0</v>
      </c>
      <c r="AQ21" s="37">
        <f>+COUNTIFS('Coded Segments'!$C$2:$C$913,SLR_Covidence_Data_Extraction__66_files[[#This Row],[Study ID_1]],'Coded Segments'!$D$2:$D$913,SLR_Covidence_Data_Extraction__66_files[[#Headers],[Ethical Concerns (EC) &gt; EC_Environmental sustainability]])</f>
        <v>0</v>
      </c>
      <c r="AR21" s="37">
        <f>+COUNTIFS('Coded Segments'!$C$2:$C$913,SLR_Covidence_Data_Extraction__66_files[[#This Row],[Study ID_1]],'Coded Segments'!$D$2:$D$913,SLR_Covidence_Data_Extraction__66_files[[#Headers],[Ethical Concerns (EC) &gt; EC_Payment]])</f>
        <v>0</v>
      </c>
      <c r="AS21" s="37">
        <f>+COUNTIFS('Coded Segments'!$C$2:$C$912,SLR_Covidence_Data_Extraction__66_files[[#This Row],[Study ID_1]],'Coded Segments'!$D$2:$D$912,SLR_Covidence_Data_Extraction__66_files[[#Headers],[Ethical Concerns (EC) &gt; EC_Quality]])</f>
        <v>7</v>
      </c>
      <c r="AT21" s="37">
        <f>+COUNTIFS('Coded Segments'!$C$2:$C$913,SLR_Covidence_Data_Extraction__66_files[[#This Row],[Study ID_1]],'Coded Segments'!$D$2:$D$913,SLR_Covidence_Data_Extraction__66_files[[#Headers],[Ethical Concerns (EC) &gt; EC_Translators’ role &amp; status]])</f>
        <v>1</v>
      </c>
      <c r="AU21" s="37">
        <f>+COUNTIFS('Coded Segments'!$C$2:$C$913,SLR_Covidence_Data_Extraction__66_files[[#This Row],[Study ID_1]],'Coded Segments'!$D$2:$D$913,SLR_Covidence_Data_Extraction__66_files[[#Headers],[Ethical Concerns (EC) &gt; EC_Other]])</f>
        <v>0</v>
      </c>
      <c r="AV21" s="37">
        <f>+COUNTIFS('Coded Segments'!$C$2:$C$913,SLR_Covidence_Data_Extraction__66_files[[#This Row],[Study ID_1]],'Coded Segments'!$D$2:$D$913,SLR_Covidence_Data_Extraction__66_files[[#Headers],[Literacy (LIT) &gt; LIT_Generic]])</f>
        <v>1</v>
      </c>
      <c r="AW21" s="37">
        <f>+COUNTIFS('Coded Segments'!$C$2:$C$913,SLR_Covidence_Data_Extraction__66_files[[#This Row],[Study ID_1]],'Coded Segments'!$D$2:$D$913,SLR_Covidence_Data_Extraction__66_files[[#Headers],[Literacy (LIT) &gt; LIT_None ]])</f>
        <v>0</v>
      </c>
      <c r="AX21" s="37">
        <f>+COUNTIFS('Coded Segments'!$C$2:$C$913,SLR_Covidence_Data_Extraction__66_files[[#This Row],[Study ID_1]],'Coded Segments'!$D$2:$D$913,SLR_Covidence_Data_Extraction__66_files[[#Headers],[Literacy (LIT) &gt; LIT_Low ]])</f>
        <v>0</v>
      </c>
      <c r="AY21" s="37">
        <f>+COUNTIFS('Coded Segments'!$C$2:$C$913,SLR_Covidence_Data_Extraction__66_files[[#This Row],[Study ID_1]],'Coded Segments'!$D$2:$D$913,SLR_Covidence_Data_Extraction__66_files[[#Headers],[Literacy (LIT) &gt; LIT_High]])</f>
        <v>0</v>
      </c>
    </row>
    <row r="22" spans="1:51" x14ac:dyDescent="0.25">
      <c r="A22" s="37">
        <v>62</v>
      </c>
      <c r="B22" s="37" t="s">
        <v>246</v>
      </c>
      <c r="C22" s="37" t="s">
        <v>244</v>
      </c>
      <c r="D22" s="37" t="s">
        <v>245</v>
      </c>
      <c r="E22" s="37" t="s">
        <v>247</v>
      </c>
      <c r="F22" s="37" t="s">
        <v>248</v>
      </c>
      <c r="G22" s="37" t="s">
        <v>774</v>
      </c>
      <c r="H22" s="39" t="s">
        <v>834</v>
      </c>
      <c r="I22" s="39" t="str">
        <f>LEFT(SLR_Covidence_Data_Extraction__66_files[[#This Row],[Publication date]],4)</f>
        <v>2022</v>
      </c>
      <c r="J22" s="37" t="s">
        <v>774</v>
      </c>
      <c r="K22" s="37" t="s">
        <v>249</v>
      </c>
      <c r="L22" s="37" t="s">
        <v>1478</v>
      </c>
      <c r="P22" s="37" t="s">
        <v>26</v>
      </c>
      <c r="Q22" s="37" t="s">
        <v>26</v>
      </c>
      <c r="S22" s="37" t="s">
        <v>29</v>
      </c>
      <c r="T22" s="37" t="s">
        <v>30</v>
      </c>
      <c r="U22" s="37" t="s">
        <v>250</v>
      </c>
      <c r="V22" s="37" t="s">
        <v>32</v>
      </c>
      <c r="X22" s="37" t="s">
        <v>251</v>
      </c>
      <c r="Y22" s="37" t="s">
        <v>252</v>
      </c>
      <c r="Z22" s="37" t="s">
        <v>136</v>
      </c>
      <c r="AA22" s="37" t="s">
        <v>1463</v>
      </c>
      <c r="AB22" s="38">
        <v>188</v>
      </c>
      <c r="AC22" s="37" t="s">
        <v>835</v>
      </c>
      <c r="AD22" s="37" t="s">
        <v>253</v>
      </c>
      <c r="AE22" s="37" t="s">
        <v>1680</v>
      </c>
      <c r="AF22" s="37" t="s">
        <v>254</v>
      </c>
      <c r="AG22" s="37" t="s">
        <v>255</v>
      </c>
      <c r="AH22" s="37">
        <f>+COUNTIFS('Coded Segments'!$C$2:$C$913,SLR_Covidence_Data_Extraction__66_files[[#This Row],[Study ID_1]],'Coded Segments'!$D$2:$D$913,SLR_Covidence_Data_Extraction__66_files[[#Headers],[Adoption (AD) &gt; AD_High]])</f>
        <v>1</v>
      </c>
      <c r="AI22" s="37">
        <f>+COUNTIFS('Coded Segments'!$C$2:$C$913,SLR_Covidence_Data_Extraction__66_files[[#This Row],[Study ID_1]],'Coded Segments'!$D$2:$D$913,SLR_Covidence_Data_Extraction__66_files[[#Headers],[Adoption (AD) &gt; AD_Moderate]])</f>
        <v>0</v>
      </c>
      <c r="AJ22" s="37">
        <f>+COUNTIFS('Coded Segments'!$C$2:$C$913,SLR_Covidence_Data_Extraction__66_files[[#This Row],[Study ID_1]],'Coded Segments'!$D$2:$D$913,SLR_Covidence_Data_Extraction__66_files[[#Headers],[Adoption (AD) &gt; AD_Low]])</f>
        <v>0</v>
      </c>
      <c r="AK22" s="37">
        <f>+COUNTIFS('Coded Segments'!$C$2:$C$913,SLR_Covidence_Data_Extraction__66_files[[#This Row],[Study ID_1]],'Coded Segments'!$D$2:$D$913,SLR_Covidence_Data_Extraction__66_files[[#Headers],[Adoption (AD) &gt; AD_None]])</f>
        <v>0</v>
      </c>
      <c r="AL22" s="37">
        <f>+COUNTIFS('Coded Segments'!$C$2:$C$913,SLR_Covidence_Data_Extraction__66_files[[#This Row],[Study ID_1]],'Coded Segments'!$D$2:$D$913,SLR_Covidence_Data_Extraction__66_files[[#Headers],[Attitude (ATT) &gt; ATT_Negative]])</f>
        <v>1</v>
      </c>
      <c r="AM22" s="37">
        <f>+COUNTIFS('Coded Segments'!$C$2:$C$913,SLR_Covidence_Data_Extraction__66_files[[#This Row],[Study ID_1]],'Coded Segments'!$D$2:$D$913,SLR_Covidence_Data_Extraction__66_files[[#Headers],[Attitude (ATT) &gt; ATT_Positive]])</f>
        <v>4</v>
      </c>
      <c r="AN22" s="37">
        <f>+COUNTIFS('Coded Segments'!$C$2:$C$913,SLR_Covidence_Data_Extraction__66_files[[#This Row],[Study ID_1]],'Coded Segments'!$D$2:$D$913,SLR_Covidence_Data_Extraction__66_files[[#Headers],[Ethical Concerns (EC) &gt; EC_Bias]])</f>
        <v>0</v>
      </c>
      <c r="AO22" s="37">
        <f>+COUNTIFS('Coded Segments'!$C$2:$C$913,SLR_Covidence_Data_Extraction__66_files[[#This Row],[Study ID_1]],'Coded Segments'!$D$2:$D$913,SLR_Covidence_Data_Extraction__66_files[[#Headers],[Ethical Concerns (EC) &gt; EC_Copyright]])</f>
        <v>0</v>
      </c>
      <c r="AP22" s="37">
        <f>+COUNTIFS('Coded Segments'!$C$2:$C$913,SLR_Covidence_Data_Extraction__66_files[[#This Row],[Study ID_1]],'Coded Segments'!$D$2:$D$913,SLR_Covidence_Data_Extraction__66_files[[#Headers],[Ethical Concerns (EC) &gt; EC_Data safety &amp; confidentiality]])</f>
        <v>0</v>
      </c>
      <c r="AQ22" s="37">
        <f>+COUNTIFS('Coded Segments'!$C$2:$C$913,SLR_Covidence_Data_Extraction__66_files[[#This Row],[Study ID_1]],'Coded Segments'!$D$2:$D$913,SLR_Covidence_Data_Extraction__66_files[[#Headers],[Ethical Concerns (EC) &gt; EC_Environmental sustainability]])</f>
        <v>0</v>
      </c>
      <c r="AR22" s="37">
        <f>+COUNTIFS('Coded Segments'!$C$2:$C$913,SLR_Covidence_Data_Extraction__66_files[[#This Row],[Study ID_1]],'Coded Segments'!$D$2:$D$913,SLR_Covidence_Data_Extraction__66_files[[#Headers],[Ethical Concerns (EC) &gt; EC_Payment]])</f>
        <v>0</v>
      </c>
      <c r="AS22" s="37">
        <f>+COUNTIFS('Coded Segments'!$C$2:$C$912,SLR_Covidence_Data_Extraction__66_files[[#This Row],[Study ID_1]],'Coded Segments'!$D$2:$D$912,SLR_Covidence_Data_Extraction__66_files[[#Headers],[Ethical Concerns (EC) &gt; EC_Quality]])</f>
        <v>1</v>
      </c>
      <c r="AT22" s="37">
        <f>+COUNTIFS('Coded Segments'!$C$2:$C$913,SLR_Covidence_Data_Extraction__66_files[[#This Row],[Study ID_1]],'Coded Segments'!$D$2:$D$913,SLR_Covidence_Data_Extraction__66_files[[#Headers],[Ethical Concerns (EC) &gt; EC_Translators’ role &amp; status]])</f>
        <v>2</v>
      </c>
      <c r="AU22" s="37">
        <f>+COUNTIFS('Coded Segments'!$C$2:$C$913,SLR_Covidence_Data_Extraction__66_files[[#This Row],[Study ID_1]],'Coded Segments'!$D$2:$D$913,SLR_Covidence_Data_Extraction__66_files[[#Headers],[Ethical Concerns (EC) &gt; EC_Other]])</f>
        <v>0</v>
      </c>
      <c r="AV22" s="37">
        <f>+COUNTIFS('Coded Segments'!$C$2:$C$913,SLR_Covidence_Data_Extraction__66_files[[#This Row],[Study ID_1]],'Coded Segments'!$D$2:$D$913,SLR_Covidence_Data_Extraction__66_files[[#Headers],[Literacy (LIT) &gt; LIT_Generic]])</f>
        <v>1</v>
      </c>
      <c r="AW22" s="37">
        <f>+COUNTIFS('Coded Segments'!$C$2:$C$913,SLR_Covidence_Data_Extraction__66_files[[#This Row],[Study ID_1]],'Coded Segments'!$D$2:$D$913,SLR_Covidence_Data_Extraction__66_files[[#Headers],[Literacy (LIT) &gt; LIT_None ]])</f>
        <v>0</v>
      </c>
      <c r="AX22" s="37">
        <f>+COUNTIFS('Coded Segments'!$C$2:$C$913,SLR_Covidence_Data_Extraction__66_files[[#This Row],[Study ID_1]],'Coded Segments'!$D$2:$D$913,SLR_Covidence_Data_Extraction__66_files[[#Headers],[Literacy (LIT) &gt; LIT_Low ]])</f>
        <v>2</v>
      </c>
      <c r="AY22" s="37">
        <f>+COUNTIFS('Coded Segments'!$C$2:$C$913,SLR_Covidence_Data_Extraction__66_files[[#This Row],[Study ID_1]],'Coded Segments'!$D$2:$D$913,SLR_Covidence_Data_Extraction__66_files[[#Headers],[Literacy (LIT) &gt; LIT_High]])</f>
        <v>0</v>
      </c>
    </row>
    <row r="23" spans="1:51" x14ac:dyDescent="0.25">
      <c r="A23" s="37">
        <v>77</v>
      </c>
      <c r="B23" s="37" t="s">
        <v>113</v>
      </c>
      <c r="C23" s="37" t="s">
        <v>112</v>
      </c>
      <c r="D23" s="37" t="s">
        <v>114</v>
      </c>
      <c r="E23" s="37" t="s">
        <v>115</v>
      </c>
      <c r="F23" s="37" t="s">
        <v>116</v>
      </c>
      <c r="G23" s="37" t="s">
        <v>768</v>
      </c>
      <c r="H23" s="39" t="s">
        <v>815</v>
      </c>
      <c r="I23" s="39" t="str">
        <f>LEFT(SLR_Covidence_Data_Extraction__66_files[[#This Row],[Publication date]],4)</f>
        <v>2022</v>
      </c>
      <c r="J23" s="37" t="s">
        <v>768</v>
      </c>
      <c r="K23" s="37" t="s">
        <v>117</v>
      </c>
      <c r="L23" s="37" t="s">
        <v>1478</v>
      </c>
      <c r="P23" s="37" t="s">
        <v>28</v>
      </c>
      <c r="Q23" s="37" t="s">
        <v>28</v>
      </c>
      <c r="R23" s="37">
        <f>16+13</f>
        <v>29</v>
      </c>
      <c r="S23" s="37" t="s">
        <v>118</v>
      </c>
      <c r="T23" s="37" t="s">
        <v>119</v>
      </c>
      <c r="U23" s="37" t="s">
        <v>120</v>
      </c>
      <c r="V23" s="37" t="s">
        <v>32</v>
      </c>
      <c r="X23" s="37" t="s">
        <v>26</v>
      </c>
      <c r="Y23" s="37" t="s">
        <v>121</v>
      </c>
      <c r="Z23" s="37" t="s">
        <v>136</v>
      </c>
      <c r="AA23" s="37" t="s">
        <v>1463</v>
      </c>
      <c r="AB23" s="38">
        <f>23+16</f>
        <v>39</v>
      </c>
      <c r="AC23" s="37" t="s">
        <v>816</v>
      </c>
      <c r="AD23" s="37" t="s">
        <v>122</v>
      </c>
      <c r="AE23" s="37" t="s">
        <v>123</v>
      </c>
      <c r="AF23" s="37" t="s">
        <v>124</v>
      </c>
      <c r="AG23" s="37" t="s">
        <v>125</v>
      </c>
      <c r="AH23" s="37">
        <f>+COUNTIFS('Coded Segments'!$C$2:$C$913,SLR_Covidence_Data_Extraction__66_files[[#This Row],[Study ID_1]],'Coded Segments'!$D$2:$D$913,SLR_Covidence_Data_Extraction__66_files[[#Headers],[Adoption (AD) &gt; AD_High]])</f>
        <v>1</v>
      </c>
      <c r="AI23" s="37">
        <f>+COUNTIFS('Coded Segments'!$C$2:$C$913,SLR_Covidence_Data_Extraction__66_files[[#This Row],[Study ID_1]],'Coded Segments'!$D$2:$D$913,SLR_Covidence_Data_Extraction__66_files[[#Headers],[Adoption (AD) &gt; AD_Moderate]])</f>
        <v>0</v>
      </c>
      <c r="AJ23" s="37">
        <f>+COUNTIFS('Coded Segments'!$C$2:$C$913,SLR_Covidence_Data_Extraction__66_files[[#This Row],[Study ID_1]],'Coded Segments'!$D$2:$D$913,SLR_Covidence_Data_Extraction__66_files[[#Headers],[Adoption (AD) &gt; AD_Low]])</f>
        <v>0</v>
      </c>
      <c r="AK23" s="37">
        <f>+COUNTIFS('Coded Segments'!$C$2:$C$913,SLR_Covidence_Data_Extraction__66_files[[#This Row],[Study ID_1]],'Coded Segments'!$D$2:$D$913,SLR_Covidence_Data_Extraction__66_files[[#Headers],[Adoption (AD) &gt; AD_None]])</f>
        <v>0</v>
      </c>
      <c r="AL23" s="37">
        <f>+COUNTIFS('Coded Segments'!$C$2:$C$913,SLR_Covidence_Data_Extraction__66_files[[#This Row],[Study ID_1]],'Coded Segments'!$D$2:$D$913,SLR_Covidence_Data_Extraction__66_files[[#Headers],[Attitude (ATT) &gt; ATT_Negative]])</f>
        <v>4</v>
      </c>
      <c r="AM23" s="37">
        <f>+COUNTIFS('Coded Segments'!$C$2:$C$913,SLR_Covidence_Data_Extraction__66_files[[#This Row],[Study ID_1]],'Coded Segments'!$D$2:$D$913,SLR_Covidence_Data_Extraction__66_files[[#Headers],[Attitude (ATT) &gt; ATT_Positive]])</f>
        <v>0</v>
      </c>
      <c r="AN23" s="37">
        <f>+COUNTIFS('Coded Segments'!$C$2:$C$913,SLR_Covidence_Data_Extraction__66_files[[#This Row],[Study ID_1]],'Coded Segments'!$D$2:$D$913,SLR_Covidence_Data_Extraction__66_files[[#Headers],[Ethical Concerns (EC) &gt; EC_Bias]])</f>
        <v>0</v>
      </c>
      <c r="AO23" s="37">
        <f>+COUNTIFS('Coded Segments'!$C$2:$C$913,SLR_Covidence_Data_Extraction__66_files[[#This Row],[Study ID_1]],'Coded Segments'!$D$2:$D$913,SLR_Covidence_Data_Extraction__66_files[[#Headers],[Ethical Concerns (EC) &gt; EC_Copyright]])</f>
        <v>0</v>
      </c>
      <c r="AP23" s="37">
        <f>+COUNTIFS('Coded Segments'!$C$2:$C$913,SLR_Covidence_Data_Extraction__66_files[[#This Row],[Study ID_1]],'Coded Segments'!$D$2:$D$913,SLR_Covidence_Data_Extraction__66_files[[#Headers],[Ethical Concerns (EC) &gt; EC_Data safety &amp; confidentiality]])</f>
        <v>0</v>
      </c>
      <c r="AQ23" s="37">
        <f>+COUNTIFS('Coded Segments'!$C$2:$C$913,SLR_Covidence_Data_Extraction__66_files[[#This Row],[Study ID_1]],'Coded Segments'!$D$2:$D$913,SLR_Covidence_Data_Extraction__66_files[[#Headers],[Ethical Concerns (EC) &gt; EC_Environmental sustainability]])</f>
        <v>0</v>
      </c>
      <c r="AR23" s="37">
        <f>+COUNTIFS('Coded Segments'!$C$2:$C$913,SLR_Covidence_Data_Extraction__66_files[[#This Row],[Study ID_1]],'Coded Segments'!$D$2:$D$913,SLR_Covidence_Data_Extraction__66_files[[#Headers],[Ethical Concerns (EC) &gt; EC_Payment]])</f>
        <v>3</v>
      </c>
      <c r="AS23" s="37">
        <f>+COUNTIFS('Coded Segments'!$C$2:$C$912,SLR_Covidence_Data_Extraction__66_files[[#This Row],[Study ID_1]],'Coded Segments'!$D$2:$D$912,SLR_Covidence_Data_Extraction__66_files[[#Headers],[Ethical Concerns (EC) &gt; EC_Quality]])</f>
        <v>1</v>
      </c>
      <c r="AT23" s="37">
        <f>+COUNTIFS('Coded Segments'!$C$2:$C$913,SLR_Covidence_Data_Extraction__66_files[[#This Row],[Study ID_1]],'Coded Segments'!$D$2:$D$913,SLR_Covidence_Data_Extraction__66_files[[#Headers],[Ethical Concerns (EC) &gt; EC_Translators’ role &amp; status]])</f>
        <v>1</v>
      </c>
      <c r="AU23" s="37">
        <f>+COUNTIFS('Coded Segments'!$C$2:$C$913,SLR_Covidence_Data_Extraction__66_files[[#This Row],[Study ID_1]],'Coded Segments'!$D$2:$D$913,SLR_Covidence_Data_Extraction__66_files[[#Headers],[Ethical Concerns (EC) &gt; EC_Other]])</f>
        <v>2</v>
      </c>
      <c r="AV23" s="37">
        <f>+COUNTIFS('Coded Segments'!$C$2:$C$913,SLR_Covidence_Data_Extraction__66_files[[#This Row],[Study ID_1]],'Coded Segments'!$D$2:$D$913,SLR_Covidence_Data_Extraction__66_files[[#Headers],[Literacy (LIT) &gt; LIT_Generic]])</f>
        <v>0</v>
      </c>
      <c r="AW23" s="37">
        <f>+COUNTIFS('Coded Segments'!$C$2:$C$913,SLR_Covidence_Data_Extraction__66_files[[#This Row],[Study ID_1]],'Coded Segments'!$D$2:$D$913,SLR_Covidence_Data_Extraction__66_files[[#Headers],[Literacy (LIT) &gt; LIT_None ]])</f>
        <v>0</v>
      </c>
      <c r="AX23" s="37">
        <f>+COUNTIFS('Coded Segments'!$C$2:$C$913,SLR_Covidence_Data_Extraction__66_files[[#This Row],[Study ID_1]],'Coded Segments'!$D$2:$D$913,SLR_Covidence_Data_Extraction__66_files[[#Headers],[Literacy (LIT) &gt; LIT_Low ]])</f>
        <v>2</v>
      </c>
      <c r="AY23" s="37">
        <f>+COUNTIFS('Coded Segments'!$C$2:$C$913,SLR_Covidence_Data_Extraction__66_files[[#This Row],[Study ID_1]],'Coded Segments'!$D$2:$D$913,SLR_Covidence_Data_Extraction__66_files[[#Headers],[Literacy (LIT) &gt; LIT_High]])</f>
        <v>0</v>
      </c>
    </row>
    <row r="24" spans="1:51" x14ac:dyDescent="0.25">
      <c r="A24" s="37">
        <v>6</v>
      </c>
      <c r="B24" s="37" t="s">
        <v>724</v>
      </c>
      <c r="C24" s="37" t="s">
        <v>723</v>
      </c>
      <c r="D24" s="37" t="s">
        <v>725</v>
      </c>
      <c r="E24" s="37" t="s">
        <v>726</v>
      </c>
      <c r="F24" s="37" t="s">
        <v>727</v>
      </c>
      <c r="G24" s="37" t="s">
        <v>728</v>
      </c>
      <c r="H24" s="39" t="s">
        <v>900</v>
      </c>
      <c r="I24" s="39" t="str">
        <f>LEFT(SLR_Covidence_Data_Extraction__66_files[[#This Row],[Publication date]],4)</f>
        <v>2022</v>
      </c>
      <c r="J24" s="37" t="s">
        <v>728</v>
      </c>
      <c r="K24" s="37" t="s">
        <v>729</v>
      </c>
      <c r="P24" s="37" t="s">
        <v>26</v>
      </c>
      <c r="Q24" s="37" t="s">
        <v>26</v>
      </c>
      <c r="S24" s="37" t="s">
        <v>730</v>
      </c>
      <c r="T24" s="37" t="s">
        <v>731</v>
      </c>
      <c r="U24" s="37" t="s">
        <v>77</v>
      </c>
      <c r="V24" s="37" t="s">
        <v>32</v>
      </c>
      <c r="X24" s="37" t="s">
        <v>26</v>
      </c>
      <c r="Y24" s="37" t="s">
        <v>136</v>
      </c>
      <c r="Z24" s="37" t="s">
        <v>136</v>
      </c>
      <c r="AA24" s="37" t="s">
        <v>1463</v>
      </c>
      <c r="AB24" s="38">
        <v>452</v>
      </c>
      <c r="AC24" s="37" t="s">
        <v>901</v>
      </c>
      <c r="AD24" s="37" t="s">
        <v>732</v>
      </c>
      <c r="AE24" s="37" t="s">
        <v>733</v>
      </c>
      <c r="AF24" s="37" t="s">
        <v>734</v>
      </c>
      <c r="AG24" s="37" t="s">
        <v>735</v>
      </c>
      <c r="AH24" s="37">
        <f>+COUNTIFS('Coded Segments'!$C$2:$C$913,SLR_Covidence_Data_Extraction__66_files[[#This Row],[Study ID_1]],'Coded Segments'!$D$2:$D$913,SLR_Covidence_Data_Extraction__66_files[[#Headers],[Adoption (AD) &gt; AD_High]])</f>
        <v>1</v>
      </c>
      <c r="AI24" s="37">
        <f>+COUNTIFS('Coded Segments'!$C$2:$C$913,SLR_Covidence_Data_Extraction__66_files[[#This Row],[Study ID_1]],'Coded Segments'!$D$2:$D$913,SLR_Covidence_Data_Extraction__66_files[[#Headers],[Adoption (AD) &gt; AD_Moderate]])</f>
        <v>0</v>
      </c>
      <c r="AJ24" s="37">
        <f>+COUNTIFS('Coded Segments'!$C$2:$C$913,SLR_Covidence_Data_Extraction__66_files[[#This Row],[Study ID_1]],'Coded Segments'!$D$2:$D$913,SLR_Covidence_Data_Extraction__66_files[[#Headers],[Adoption (AD) &gt; AD_Low]])</f>
        <v>0</v>
      </c>
      <c r="AK24" s="37">
        <f>+COUNTIFS('Coded Segments'!$C$2:$C$913,SLR_Covidence_Data_Extraction__66_files[[#This Row],[Study ID_1]],'Coded Segments'!$D$2:$D$913,SLR_Covidence_Data_Extraction__66_files[[#Headers],[Adoption (AD) &gt; AD_None]])</f>
        <v>0</v>
      </c>
      <c r="AL24" s="37">
        <f>+COUNTIFS('Coded Segments'!$C$2:$C$913,SLR_Covidence_Data_Extraction__66_files[[#This Row],[Study ID_1]],'Coded Segments'!$D$2:$D$913,SLR_Covidence_Data_Extraction__66_files[[#Headers],[Attitude (ATT) &gt; ATT_Negative]])</f>
        <v>1</v>
      </c>
      <c r="AM24" s="37">
        <f>+COUNTIFS('Coded Segments'!$C$2:$C$913,SLR_Covidence_Data_Extraction__66_files[[#This Row],[Study ID_1]],'Coded Segments'!$D$2:$D$913,SLR_Covidence_Data_Extraction__66_files[[#Headers],[Attitude (ATT) &gt; ATT_Positive]])</f>
        <v>0</v>
      </c>
      <c r="AN24" s="37">
        <f>+COUNTIFS('Coded Segments'!$C$2:$C$913,SLR_Covidence_Data_Extraction__66_files[[#This Row],[Study ID_1]],'Coded Segments'!$D$2:$D$913,SLR_Covidence_Data_Extraction__66_files[[#Headers],[Ethical Concerns (EC) &gt; EC_Bias]])</f>
        <v>0</v>
      </c>
      <c r="AO24" s="37">
        <f>+COUNTIFS('Coded Segments'!$C$2:$C$913,SLR_Covidence_Data_Extraction__66_files[[#This Row],[Study ID_1]],'Coded Segments'!$D$2:$D$913,SLR_Covidence_Data_Extraction__66_files[[#Headers],[Ethical Concerns (EC) &gt; EC_Copyright]])</f>
        <v>0</v>
      </c>
      <c r="AP24" s="37">
        <f>+COUNTIFS('Coded Segments'!$C$2:$C$913,SLR_Covidence_Data_Extraction__66_files[[#This Row],[Study ID_1]],'Coded Segments'!$D$2:$D$913,SLR_Covidence_Data_Extraction__66_files[[#Headers],[Ethical Concerns (EC) &gt; EC_Data safety &amp; confidentiality]])</f>
        <v>0</v>
      </c>
      <c r="AQ24" s="37">
        <f>+COUNTIFS('Coded Segments'!$C$2:$C$913,SLR_Covidence_Data_Extraction__66_files[[#This Row],[Study ID_1]],'Coded Segments'!$D$2:$D$913,SLR_Covidence_Data_Extraction__66_files[[#Headers],[Ethical Concerns (EC) &gt; EC_Environmental sustainability]])</f>
        <v>0</v>
      </c>
      <c r="AR24" s="37">
        <f>+COUNTIFS('Coded Segments'!$C$2:$C$913,SLR_Covidence_Data_Extraction__66_files[[#This Row],[Study ID_1]],'Coded Segments'!$D$2:$D$913,SLR_Covidence_Data_Extraction__66_files[[#Headers],[Ethical Concerns (EC) &gt; EC_Payment]])</f>
        <v>1</v>
      </c>
      <c r="AS24" s="37">
        <f>+COUNTIFS('Coded Segments'!$C$2:$C$912,SLR_Covidence_Data_Extraction__66_files[[#This Row],[Study ID_1]],'Coded Segments'!$D$2:$D$912,SLR_Covidence_Data_Extraction__66_files[[#Headers],[Ethical Concerns (EC) &gt; EC_Quality]])</f>
        <v>1</v>
      </c>
      <c r="AT24" s="37">
        <f>+COUNTIFS('Coded Segments'!$C$2:$C$913,SLR_Covidence_Data_Extraction__66_files[[#This Row],[Study ID_1]],'Coded Segments'!$D$2:$D$913,SLR_Covidence_Data_Extraction__66_files[[#Headers],[Ethical Concerns (EC) &gt; EC_Translators’ role &amp; status]])</f>
        <v>0</v>
      </c>
      <c r="AU24" s="37">
        <f>+COUNTIFS('Coded Segments'!$C$2:$C$913,SLR_Covidence_Data_Extraction__66_files[[#This Row],[Study ID_1]],'Coded Segments'!$D$2:$D$913,SLR_Covidence_Data_Extraction__66_files[[#Headers],[Ethical Concerns (EC) &gt; EC_Other]])</f>
        <v>0</v>
      </c>
      <c r="AV24" s="37">
        <f>+COUNTIFS('Coded Segments'!$C$2:$C$913,SLR_Covidence_Data_Extraction__66_files[[#This Row],[Study ID_1]],'Coded Segments'!$D$2:$D$913,SLR_Covidence_Data_Extraction__66_files[[#Headers],[Literacy (LIT) &gt; LIT_Generic]])</f>
        <v>0</v>
      </c>
      <c r="AW24" s="37">
        <f>+COUNTIFS('Coded Segments'!$C$2:$C$913,SLR_Covidence_Data_Extraction__66_files[[#This Row],[Study ID_1]],'Coded Segments'!$D$2:$D$913,SLR_Covidence_Data_Extraction__66_files[[#Headers],[Literacy (LIT) &gt; LIT_None ]])</f>
        <v>0</v>
      </c>
      <c r="AX24" s="37">
        <f>+COUNTIFS('Coded Segments'!$C$2:$C$913,SLR_Covidence_Data_Extraction__66_files[[#This Row],[Study ID_1]],'Coded Segments'!$D$2:$D$913,SLR_Covidence_Data_Extraction__66_files[[#Headers],[Literacy (LIT) &gt; LIT_Low ]])</f>
        <v>0</v>
      </c>
      <c r="AY24" s="37">
        <f>+COUNTIFS('Coded Segments'!$C$2:$C$913,SLR_Covidence_Data_Extraction__66_files[[#This Row],[Study ID_1]],'Coded Segments'!$D$2:$D$913,SLR_Covidence_Data_Extraction__66_files[[#Headers],[Literacy (LIT) &gt; LIT_High]])</f>
        <v>0</v>
      </c>
    </row>
    <row r="25" spans="1:51" x14ac:dyDescent="0.25">
      <c r="A25" s="37">
        <v>74</v>
      </c>
      <c r="B25" s="37" t="s">
        <v>155</v>
      </c>
      <c r="C25" s="37" t="s">
        <v>153</v>
      </c>
      <c r="D25" s="37" t="s">
        <v>154</v>
      </c>
      <c r="E25" s="37" t="s">
        <v>156</v>
      </c>
      <c r="F25" s="37" t="s">
        <v>157</v>
      </c>
      <c r="G25" s="37" t="s">
        <v>1437</v>
      </c>
      <c r="H25" s="39" t="s">
        <v>820</v>
      </c>
      <c r="I25" s="39" t="str">
        <f>LEFT(SLR_Covidence_Data_Extraction__66_files[[#This Row],[Publication date]],4)</f>
        <v>2022</v>
      </c>
      <c r="J25" s="37" t="s">
        <v>775</v>
      </c>
      <c r="K25" s="37" t="s">
        <v>158</v>
      </c>
      <c r="L25" s="37" t="s">
        <v>1478</v>
      </c>
      <c r="P25" s="37" t="s">
        <v>28</v>
      </c>
      <c r="Q25" s="37" t="s">
        <v>28</v>
      </c>
      <c r="R25" s="37">
        <v>58</v>
      </c>
      <c r="S25" s="37" t="s">
        <v>159</v>
      </c>
      <c r="T25" s="37" t="s">
        <v>160</v>
      </c>
      <c r="U25" s="37" t="s">
        <v>161</v>
      </c>
      <c r="V25" s="37" t="s">
        <v>32</v>
      </c>
      <c r="X25" s="37" t="s">
        <v>26</v>
      </c>
      <c r="Y25" s="37" t="s">
        <v>162</v>
      </c>
      <c r="Z25" s="37" t="s">
        <v>136</v>
      </c>
      <c r="AA25" s="37" t="s">
        <v>1463</v>
      </c>
      <c r="AB25" s="38">
        <v>86</v>
      </c>
      <c r="AC25" s="37" t="s">
        <v>821</v>
      </c>
      <c r="AD25" s="37" t="s">
        <v>163</v>
      </c>
      <c r="AE25" s="37" t="s">
        <v>164</v>
      </c>
      <c r="AF25" s="37" t="s">
        <v>165</v>
      </c>
      <c r="AG25" s="37" t="s">
        <v>166</v>
      </c>
      <c r="AH25" s="37">
        <f>+COUNTIFS('Coded Segments'!$C$2:$C$913,SLR_Covidence_Data_Extraction__66_files[[#This Row],[Study ID_1]],'Coded Segments'!$D$2:$D$913,SLR_Covidence_Data_Extraction__66_files[[#Headers],[Adoption (AD) &gt; AD_High]])</f>
        <v>1</v>
      </c>
      <c r="AI25" s="37">
        <f>+COUNTIFS('Coded Segments'!$C$2:$C$913,SLR_Covidence_Data_Extraction__66_files[[#This Row],[Study ID_1]],'Coded Segments'!$D$2:$D$913,SLR_Covidence_Data_Extraction__66_files[[#Headers],[Adoption (AD) &gt; AD_Moderate]])</f>
        <v>0</v>
      </c>
      <c r="AJ25" s="37">
        <f>+COUNTIFS('Coded Segments'!$C$2:$C$913,SLR_Covidence_Data_Extraction__66_files[[#This Row],[Study ID_1]],'Coded Segments'!$D$2:$D$913,SLR_Covidence_Data_Extraction__66_files[[#Headers],[Adoption (AD) &gt; AD_Low]])</f>
        <v>0</v>
      </c>
      <c r="AK25" s="37">
        <f>+COUNTIFS('Coded Segments'!$C$2:$C$913,SLR_Covidence_Data_Extraction__66_files[[#This Row],[Study ID_1]],'Coded Segments'!$D$2:$D$913,SLR_Covidence_Data_Extraction__66_files[[#Headers],[Adoption (AD) &gt; AD_None]])</f>
        <v>0</v>
      </c>
      <c r="AL25" s="37">
        <f>+COUNTIFS('Coded Segments'!$C$2:$C$913,SLR_Covidence_Data_Extraction__66_files[[#This Row],[Study ID_1]],'Coded Segments'!$D$2:$D$913,SLR_Covidence_Data_Extraction__66_files[[#Headers],[Attitude (ATT) &gt; ATT_Negative]])</f>
        <v>2</v>
      </c>
      <c r="AM25" s="37">
        <f>+COUNTIFS('Coded Segments'!$C$2:$C$913,SLR_Covidence_Data_Extraction__66_files[[#This Row],[Study ID_1]],'Coded Segments'!$D$2:$D$913,SLR_Covidence_Data_Extraction__66_files[[#Headers],[Attitude (ATT) &gt; ATT_Positive]])</f>
        <v>0</v>
      </c>
      <c r="AN25" s="37">
        <f>+COUNTIFS('Coded Segments'!$C$2:$C$913,SLR_Covidence_Data_Extraction__66_files[[#This Row],[Study ID_1]],'Coded Segments'!$D$2:$D$913,SLR_Covidence_Data_Extraction__66_files[[#Headers],[Ethical Concerns (EC) &gt; EC_Bias]])</f>
        <v>0</v>
      </c>
      <c r="AO25" s="37">
        <f>+COUNTIFS('Coded Segments'!$C$2:$C$913,SLR_Covidence_Data_Extraction__66_files[[#This Row],[Study ID_1]],'Coded Segments'!$D$2:$D$913,SLR_Covidence_Data_Extraction__66_files[[#Headers],[Ethical Concerns (EC) &gt; EC_Copyright]])</f>
        <v>0</v>
      </c>
      <c r="AP25" s="37">
        <f>+COUNTIFS('Coded Segments'!$C$2:$C$913,SLR_Covidence_Data_Extraction__66_files[[#This Row],[Study ID_1]],'Coded Segments'!$D$2:$D$913,SLR_Covidence_Data_Extraction__66_files[[#Headers],[Ethical Concerns (EC) &gt; EC_Data safety &amp; confidentiality]])</f>
        <v>0</v>
      </c>
      <c r="AQ25" s="37">
        <f>+COUNTIFS('Coded Segments'!$C$2:$C$913,SLR_Covidence_Data_Extraction__66_files[[#This Row],[Study ID_1]],'Coded Segments'!$D$2:$D$913,SLR_Covidence_Data_Extraction__66_files[[#Headers],[Ethical Concerns (EC) &gt; EC_Environmental sustainability]])</f>
        <v>0</v>
      </c>
      <c r="AR25" s="37">
        <f>+COUNTIFS('Coded Segments'!$C$2:$C$913,SLR_Covidence_Data_Extraction__66_files[[#This Row],[Study ID_1]],'Coded Segments'!$D$2:$D$913,SLR_Covidence_Data_Extraction__66_files[[#Headers],[Ethical Concerns (EC) &gt; EC_Payment]])</f>
        <v>0</v>
      </c>
      <c r="AS25" s="37">
        <f>+COUNTIFS('Coded Segments'!$C$2:$C$912,SLR_Covidence_Data_Extraction__66_files[[#This Row],[Study ID_1]],'Coded Segments'!$D$2:$D$912,SLR_Covidence_Data_Extraction__66_files[[#Headers],[Ethical Concerns (EC) &gt; EC_Quality]])</f>
        <v>0</v>
      </c>
      <c r="AT25" s="37">
        <f>+COUNTIFS('Coded Segments'!$C$2:$C$913,SLR_Covidence_Data_Extraction__66_files[[#This Row],[Study ID_1]],'Coded Segments'!$D$2:$D$913,SLR_Covidence_Data_Extraction__66_files[[#Headers],[Ethical Concerns (EC) &gt; EC_Translators’ role &amp; status]])</f>
        <v>0</v>
      </c>
      <c r="AU25" s="37">
        <f>+COUNTIFS('Coded Segments'!$C$2:$C$913,SLR_Covidence_Data_Extraction__66_files[[#This Row],[Study ID_1]],'Coded Segments'!$D$2:$D$913,SLR_Covidence_Data_Extraction__66_files[[#Headers],[Ethical Concerns (EC) &gt; EC_Other]])</f>
        <v>0</v>
      </c>
      <c r="AV25" s="37">
        <f>+COUNTIFS('Coded Segments'!$C$2:$C$913,SLR_Covidence_Data_Extraction__66_files[[#This Row],[Study ID_1]],'Coded Segments'!$D$2:$D$913,SLR_Covidence_Data_Extraction__66_files[[#Headers],[Literacy (LIT) &gt; LIT_Generic]])</f>
        <v>0</v>
      </c>
      <c r="AW25" s="37">
        <f>+COUNTIFS('Coded Segments'!$C$2:$C$913,SLR_Covidence_Data_Extraction__66_files[[#This Row],[Study ID_1]],'Coded Segments'!$D$2:$D$913,SLR_Covidence_Data_Extraction__66_files[[#Headers],[Literacy (LIT) &gt; LIT_None ]])</f>
        <v>0</v>
      </c>
      <c r="AX25" s="37">
        <f>+COUNTIFS('Coded Segments'!$C$2:$C$913,SLR_Covidence_Data_Extraction__66_files[[#This Row],[Study ID_1]],'Coded Segments'!$D$2:$D$913,SLR_Covidence_Data_Extraction__66_files[[#Headers],[Literacy (LIT) &gt; LIT_Low ]])</f>
        <v>1</v>
      </c>
      <c r="AY25" s="37">
        <f>+COUNTIFS('Coded Segments'!$C$2:$C$913,SLR_Covidence_Data_Extraction__66_files[[#This Row],[Study ID_1]],'Coded Segments'!$D$2:$D$913,SLR_Covidence_Data_Extraction__66_files[[#Headers],[Literacy (LIT) &gt; LIT_High]])</f>
        <v>0</v>
      </c>
    </row>
    <row r="26" spans="1:51" x14ac:dyDescent="0.25">
      <c r="A26" s="37">
        <v>84</v>
      </c>
      <c r="B26" s="37" t="s">
        <v>21</v>
      </c>
      <c r="C26" s="37" t="s">
        <v>20</v>
      </c>
      <c r="D26" s="37" t="s">
        <v>22</v>
      </c>
      <c r="E26" s="37" t="s">
        <v>23</v>
      </c>
      <c r="F26" s="37" t="s">
        <v>24</v>
      </c>
      <c r="G26" s="37" t="s">
        <v>783</v>
      </c>
      <c r="H26" s="39" t="s">
        <v>25</v>
      </c>
      <c r="I26" s="39" t="str">
        <f>LEFT(SLR_Covidence_Data_Extraction__66_files[[#This Row],[Publication date]],4)</f>
        <v>2022</v>
      </c>
      <c r="J26" s="37" t="s">
        <v>773</v>
      </c>
      <c r="K26" s="37" t="s">
        <v>27</v>
      </c>
      <c r="L26" s="37" t="s">
        <v>1478</v>
      </c>
      <c r="P26" s="37" t="s">
        <v>28</v>
      </c>
      <c r="Q26" s="37" t="s">
        <v>28</v>
      </c>
      <c r="R26" s="37">
        <v>70</v>
      </c>
      <c r="S26" s="37" t="s">
        <v>29</v>
      </c>
      <c r="T26" s="37" t="s">
        <v>30</v>
      </c>
      <c r="U26" s="37" t="s">
        <v>31</v>
      </c>
      <c r="V26" s="37" t="s">
        <v>32</v>
      </c>
      <c r="X26" s="37" t="s">
        <v>33</v>
      </c>
      <c r="Y26" s="37" t="s">
        <v>34</v>
      </c>
      <c r="Z26" s="37" t="s">
        <v>136</v>
      </c>
      <c r="AA26" s="37" t="s">
        <v>1464</v>
      </c>
      <c r="AB26" s="38">
        <v>153</v>
      </c>
      <c r="AC26" s="37" t="s">
        <v>806</v>
      </c>
      <c r="AD26" s="37" t="s">
        <v>35</v>
      </c>
      <c r="AE26" s="37" t="s">
        <v>36</v>
      </c>
      <c r="AF26" s="37" t="s">
        <v>37</v>
      </c>
      <c r="AG26" s="37" t="s">
        <v>38</v>
      </c>
      <c r="AH26" s="37">
        <f>+COUNTIFS('Coded Segments'!$C$2:$C$913,SLR_Covidence_Data_Extraction__66_files[[#This Row],[Study ID_1]],'Coded Segments'!$D$2:$D$913,SLR_Covidence_Data_Extraction__66_files[[#Headers],[Adoption (AD) &gt; AD_High]])</f>
        <v>1</v>
      </c>
      <c r="AI26" s="37">
        <f>+COUNTIFS('Coded Segments'!$C$2:$C$913,SLR_Covidence_Data_Extraction__66_files[[#This Row],[Study ID_1]],'Coded Segments'!$D$2:$D$913,SLR_Covidence_Data_Extraction__66_files[[#Headers],[Adoption (AD) &gt; AD_Moderate]])</f>
        <v>0</v>
      </c>
      <c r="AJ26" s="37">
        <f>+COUNTIFS('Coded Segments'!$C$2:$C$913,SLR_Covidence_Data_Extraction__66_files[[#This Row],[Study ID_1]],'Coded Segments'!$D$2:$D$913,SLR_Covidence_Data_Extraction__66_files[[#Headers],[Adoption (AD) &gt; AD_Low]])</f>
        <v>2</v>
      </c>
      <c r="AK26" s="37">
        <f>+COUNTIFS('Coded Segments'!$C$2:$C$913,SLR_Covidence_Data_Extraction__66_files[[#This Row],[Study ID_1]],'Coded Segments'!$D$2:$D$913,SLR_Covidence_Data_Extraction__66_files[[#Headers],[Adoption (AD) &gt; AD_None]])</f>
        <v>0</v>
      </c>
      <c r="AL26" s="37">
        <f>+COUNTIFS('Coded Segments'!$C$2:$C$913,SLR_Covidence_Data_Extraction__66_files[[#This Row],[Study ID_1]],'Coded Segments'!$D$2:$D$913,SLR_Covidence_Data_Extraction__66_files[[#Headers],[Attitude (ATT) &gt; ATT_Negative]])</f>
        <v>3</v>
      </c>
      <c r="AM26" s="37">
        <f>+COUNTIFS('Coded Segments'!$C$2:$C$913,SLR_Covidence_Data_Extraction__66_files[[#This Row],[Study ID_1]],'Coded Segments'!$D$2:$D$913,SLR_Covidence_Data_Extraction__66_files[[#Headers],[Attitude (ATT) &gt; ATT_Positive]])</f>
        <v>2</v>
      </c>
      <c r="AN26" s="37">
        <f>+COUNTIFS('Coded Segments'!$C$2:$C$913,SLR_Covidence_Data_Extraction__66_files[[#This Row],[Study ID_1]],'Coded Segments'!$D$2:$D$913,SLR_Covidence_Data_Extraction__66_files[[#Headers],[Ethical Concerns (EC) &gt; EC_Bias]])</f>
        <v>0</v>
      </c>
      <c r="AO26" s="37">
        <f>+COUNTIFS('Coded Segments'!$C$2:$C$913,SLR_Covidence_Data_Extraction__66_files[[#This Row],[Study ID_1]],'Coded Segments'!$D$2:$D$913,SLR_Covidence_Data_Extraction__66_files[[#Headers],[Ethical Concerns (EC) &gt; EC_Copyright]])</f>
        <v>0</v>
      </c>
      <c r="AP26" s="37">
        <f>+COUNTIFS('Coded Segments'!$C$2:$C$913,SLR_Covidence_Data_Extraction__66_files[[#This Row],[Study ID_1]],'Coded Segments'!$D$2:$D$913,SLR_Covidence_Data_Extraction__66_files[[#Headers],[Ethical Concerns (EC) &gt; EC_Data safety &amp; confidentiality]])</f>
        <v>0</v>
      </c>
      <c r="AQ26" s="37">
        <f>+COUNTIFS('Coded Segments'!$C$2:$C$913,SLR_Covidence_Data_Extraction__66_files[[#This Row],[Study ID_1]],'Coded Segments'!$D$2:$D$913,SLR_Covidence_Data_Extraction__66_files[[#Headers],[Ethical Concerns (EC) &gt; EC_Environmental sustainability]])</f>
        <v>0</v>
      </c>
      <c r="AR26" s="37">
        <f>+COUNTIFS('Coded Segments'!$C$2:$C$913,SLR_Covidence_Data_Extraction__66_files[[#This Row],[Study ID_1]],'Coded Segments'!$D$2:$D$913,SLR_Covidence_Data_Extraction__66_files[[#Headers],[Ethical Concerns (EC) &gt; EC_Payment]])</f>
        <v>0</v>
      </c>
      <c r="AS26" s="37">
        <f>+COUNTIFS('Coded Segments'!$C$2:$C$912,SLR_Covidence_Data_Extraction__66_files[[#This Row],[Study ID_1]],'Coded Segments'!$D$2:$D$912,SLR_Covidence_Data_Extraction__66_files[[#Headers],[Ethical Concerns (EC) &gt; EC_Quality]])</f>
        <v>3</v>
      </c>
      <c r="AT26" s="37">
        <f>+COUNTIFS('Coded Segments'!$C$2:$C$913,SLR_Covidence_Data_Extraction__66_files[[#This Row],[Study ID_1]],'Coded Segments'!$D$2:$D$913,SLR_Covidence_Data_Extraction__66_files[[#Headers],[Ethical Concerns (EC) &gt; EC_Translators’ role &amp; status]])</f>
        <v>0</v>
      </c>
      <c r="AU26" s="37">
        <f>+COUNTIFS('Coded Segments'!$C$2:$C$913,SLR_Covidence_Data_Extraction__66_files[[#This Row],[Study ID_1]],'Coded Segments'!$D$2:$D$913,SLR_Covidence_Data_Extraction__66_files[[#Headers],[Ethical Concerns (EC) &gt; EC_Other]])</f>
        <v>0</v>
      </c>
      <c r="AV26" s="37">
        <f>+COUNTIFS('Coded Segments'!$C$2:$C$913,SLR_Covidence_Data_Extraction__66_files[[#This Row],[Study ID_1]],'Coded Segments'!$D$2:$D$913,SLR_Covidence_Data_Extraction__66_files[[#Headers],[Literacy (LIT) &gt; LIT_Generic]])</f>
        <v>0</v>
      </c>
      <c r="AW26" s="37">
        <f>+COUNTIFS('Coded Segments'!$C$2:$C$913,SLR_Covidence_Data_Extraction__66_files[[#This Row],[Study ID_1]],'Coded Segments'!$D$2:$D$913,SLR_Covidence_Data_Extraction__66_files[[#Headers],[Literacy (LIT) &gt; LIT_None ]])</f>
        <v>0</v>
      </c>
      <c r="AX26" s="37">
        <f>+COUNTIFS('Coded Segments'!$C$2:$C$913,SLR_Covidence_Data_Extraction__66_files[[#This Row],[Study ID_1]],'Coded Segments'!$D$2:$D$913,SLR_Covidence_Data_Extraction__66_files[[#Headers],[Literacy (LIT) &gt; LIT_Low ]])</f>
        <v>1</v>
      </c>
      <c r="AY26" s="37">
        <f>+COUNTIFS('Coded Segments'!$C$2:$C$913,SLR_Covidence_Data_Extraction__66_files[[#This Row],[Study ID_1]],'Coded Segments'!$D$2:$D$913,SLR_Covidence_Data_Extraction__66_files[[#Headers],[Literacy (LIT) &gt; LIT_High]])</f>
        <v>1</v>
      </c>
    </row>
    <row r="27" spans="1:51" x14ac:dyDescent="0.25">
      <c r="A27" s="37">
        <v>29</v>
      </c>
      <c r="B27" s="37" t="s">
        <v>532</v>
      </c>
      <c r="C27" s="37" t="s">
        <v>531</v>
      </c>
      <c r="D27" s="37" t="s">
        <v>533</v>
      </c>
      <c r="E27" s="37" t="s">
        <v>534</v>
      </c>
      <c r="F27" s="37" t="s">
        <v>535</v>
      </c>
      <c r="G27" s="37" t="s">
        <v>776</v>
      </c>
      <c r="H27" s="39" t="s">
        <v>871</v>
      </c>
      <c r="I27" s="39" t="str">
        <f>LEFT(SLR_Covidence_Data_Extraction__66_files[[#This Row],[Publication date]],4)</f>
        <v>2022</v>
      </c>
      <c r="J27" s="37" t="s">
        <v>776</v>
      </c>
      <c r="K27" s="37" t="s">
        <v>536</v>
      </c>
      <c r="L27" s="37" t="s">
        <v>1478</v>
      </c>
      <c r="P27" s="37" t="s">
        <v>190</v>
      </c>
      <c r="Q27" s="37" t="s">
        <v>537</v>
      </c>
      <c r="R27" s="37">
        <v>13</v>
      </c>
      <c r="S27" s="37" t="s">
        <v>26</v>
      </c>
      <c r="T27" s="37" t="s">
        <v>26</v>
      </c>
      <c r="U27" s="37" t="s">
        <v>26</v>
      </c>
      <c r="V27" s="37" t="s">
        <v>32</v>
      </c>
      <c r="X27" s="37" t="s">
        <v>26</v>
      </c>
      <c r="Y27" s="37" t="s">
        <v>538</v>
      </c>
      <c r="Z27" s="37" t="s">
        <v>136</v>
      </c>
      <c r="AA27" s="37" t="s">
        <v>1465</v>
      </c>
      <c r="AB27" s="38">
        <v>10</v>
      </c>
      <c r="AC27" s="37" t="s">
        <v>48</v>
      </c>
      <c r="AD27" s="37" t="s">
        <v>539</v>
      </c>
      <c r="AE27" s="37" t="s">
        <v>540</v>
      </c>
      <c r="AF27" s="37" t="s">
        <v>541</v>
      </c>
      <c r="AG27" s="37" t="s">
        <v>180</v>
      </c>
      <c r="AH27" s="37">
        <f>+COUNTIFS('Coded Segments'!$C$2:$C$913,SLR_Covidence_Data_Extraction__66_files[[#This Row],[Study ID_1]],'Coded Segments'!$D$2:$D$913,SLR_Covidence_Data_Extraction__66_files[[#Headers],[Adoption (AD) &gt; AD_High]])</f>
        <v>1</v>
      </c>
      <c r="AI27" s="37">
        <f>+COUNTIFS('Coded Segments'!$C$2:$C$913,SLR_Covidence_Data_Extraction__66_files[[#This Row],[Study ID_1]],'Coded Segments'!$D$2:$D$913,SLR_Covidence_Data_Extraction__66_files[[#Headers],[Adoption (AD) &gt; AD_Moderate]])</f>
        <v>0</v>
      </c>
      <c r="AJ27" s="37">
        <f>+COUNTIFS('Coded Segments'!$C$2:$C$913,SLR_Covidence_Data_Extraction__66_files[[#This Row],[Study ID_1]],'Coded Segments'!$D$2:$D$913,SLR_Covidence_Data_Extraction__66_files[[#Headers],[Adoption (AD) &gt; AD_Low]])</f>
        <v>0</v>
      </c>
      <c r="AK27" s="37">
        <f>+COUNTIFS('Coded Segments'!$C$2:$C$913,SLR_Covidence_Data_Extraction__66_files[[#This Row],[Study ID_1]],'Coded Segments'!$D$2:$D$913,SLR_Covidence_Data_Extraction__66_files[[#Headers],[Adoption (AD) &gt; AD_None]])</f>
        <v>0</v>
      </c>
      <c r="AL27" s="37">
        <f>+COUNTIFS('Coded Segments'!$C$2:$C$913,SLR_Covidence_Data_Extraction__66_files[[#This Row],[Study ID_1]],'Coded Segments'!$D$2:$D$913,SLR_Covidence_Data_Extraction__66_files[[#Headers],[Attitude (ATT) &gt; ATT_Negative]])</f>
        <v>0</v>
      </c>
      <c r="AM27" s="37">
        <f>+COUNTIFS('Coded Segments'!$C$2:$C$913,SLR_Covidence_Data_Extraction__66_files[[#This Row],[Study ID_1]],'Coded Segments'!$D$2:$D$913,SLR_Covidence_Data_Extraction__66_files[[#Headers],[Attitude (ATT) &gt; ATT_Positive]])</f>
        <v>7</v>
      </c>
      <c r="AN27" s="37">
        <f>+COUNTIFS('Coded Segments'!$C$2:$C$913,SLR_Covidence_Data_Extraction__66_files[[#This Row],[Study ID_1]],'Coded Segments'!$D$2:$D$913,SLR_Covidence_Data_Extraction__66_files[[#Headers],[Ethical Concerns (EC) &gt; EC_Bias]])</f>
        <v>0</v>
      </c>
      <c r="AO27" s="37">
        <f>+COUNTIFS('Coded Segments'!$C$2:$C$913,SLR_Covidence_Data_Extraction__66_files[[#This Row],[Study ID_1]],'Coded Segments'!$D$2:$D$913,SLR_Covidence_Data_Extraction__66_files[[#Headers],[Ethical Concerns (EC) &gt; EC_Copyright]])</f>
        <v>0</v>
      </c>
      <c r="AP27" s="37">
        <f>+COUNTIFS('Coded Segments'!$C$2:$C$913,SLR_Covidence_Data_Extraction__66_files[[#This Row],[Study ID_1]],'Coded Segments'!$D$2:$D$913,SLR_Covidence_Data_Extraction__66_files[[#Headers],[Ethical Concerns (EC) &gt; EC_Data safety &amp; confidentiality]])</f>
        <v>0</v>
      </c>
      <c r="AQ27" s="37">
        <f>+COUNTIFS('Coded Segments'!$C$2:$C$913,SLR_Covidence_Data_Extraction__66_files[[#This Row],[Study ID_1]],'Coded Segments'!$D$2:$D$913,SLR_Covidence_Data_Extraction__66_files[[#Headers],[Ethical Concerns (EC) &gt; EC_Environmental sustainability]])</f>
        <v>0</v>
      </c>
      <c r="AR27" s="37">
        <f>+COUNTIFS('Coded Segments'!$C$2:$C$913,SLR_Covidence_Data_Extraction__66_files[[#This Row],[Study ID_1]],'Coded Segments'!$D$2:$D$913,SLR_Covidence_Data_Extraction__66_files[[#Headers],[Ethical Concerns (EC) &gt; EC_Payment]])</f>
        <v>4</v>
      </c>
      <c r="AS27" s="37">
        <f>+COUNTIFS('Coded Segments'!$C$2:$C$912,SLR_Covidence_Data_Extraction__66_files[[#This Row],[Study ID_1]],'Coded Segments'!$D$2:$D$912,SLR_Covidence_Data_Extraction__66_files[[#Headers],[Ethical Concerns (EC) &gt; EC_Quality]])</f>
        <v>0</v>
      </c>
      <c r="AT27" s="37">
        <f>+COUNTIFS('Coded Segments'!$C$2:$C$913,SLR_Covidence_Data_Extraction__66_files[[#This Row],[Study ID_1]],'Coded Segments'!$D$2:$D$913,SLR_Covidence_Data_Extraction__66_files[[#Headers],[Ethical Concerns (EC) &gt; EC_Translators’ role &amp; status]])</f>
        <v>2</v>
      </c>
      <c r="AU27" s="37">
        <f>+COUNTIFS('Coded Segments'!$C$2:$C$913,SLR_Covidence_Data_Extraction__66_files[[#This Row],[Study ID_1]],'Coded Segments'!$D$2:$D$913,SLR_Covidence_Data_Extraction__66_files[[#Headers],[Ethical Concerns (EC) &gt; EC_Other]])</f>
        <v>0</v>
      </c>
      <c r="AV27" s="37">
        <f>+COUNTIFS('Coded Segments'!$C$2:$C$913,SLR_Covidence_Data_Extraction__66_files[[#This Row],[Study ID_1]],'Coded Segments'!$D$2:$D$913,SLR_Covidence_Data_Extraction__66_files[[#Headers],[Literacy (LIT) &gt; LIT_Generic]])</f>
        <v>0</v>
      </c>
      <c r="AW27" s="37">
        <f>+COUNTIFS('Coded Segments'!$C$2:$C$913,SLR_Covidence_Data_Extraction__66_files[[#This Row],[Study ID_1]],'Coded Segments'!$D$2:$D$913,SLR_Covidence_Data_Extraction__66_files[[#Headers],[Literacy (LIT) &gt; LIT_None ]])</f>
        <v>0</v>
      </c>
      <c r="AX27" s="37">
        <f>+COUNTIFS('Coded Segments'!$C$2:$C$913,SLR_Covidence_Data_Extraction__66_files[[#This Row],[Study ID_1]],'Coded Segments'!$D$2:$D$913,SLR_Covidence_Data_Extraction__66_files[[#Headers],[Literacy (LIT) &gt; LIT_Low ]])</f>
        <v>0</v>
      </c>
      <c r="AY27" s="37">
        <f>+COUNTIFS('Coded Segments'!$C$2:$C$913,SLR_Covidence_Data_Extraction__66_files[[#This Row],[Study ID_1]],'Coded Segments'!$D$2:$D$913,SLR_Covidence_Data_Extraction__66_files[[#Headers],[Literacy (LIT) &gt; LIT_High]])</f>
        <v>0</v>
      </c>
    </row>
    <row r="28" spans="1:51" x14ac:dyDescent="0.25">
      <c r="A28" s="37">
        <v>41</v>
      </c>
      <c r="B28" s="37" t="s">
        <v>446</v>
      </c>
      <c r="C28" s="37" t="s">
        <v>445</v>
      </c>
      <c r="D28" s="37" t="s">
        <v>447</v>
      </c>
      <c r="E28" s="37" t="s">
        <v>448</v>
      </c>
      <c r="F28" s="37" t="s">
        <v>449</v>
      </c>
      <c r="G28" s="37" t="s">
        <v>227</v>
      </c>
      <c r="H28" s="39" t="s">
        <v>216</v>
      </c>
      <c r="I28" s="39" t="str">
        <f>LEFT(SLR_Covidence_Data_Extraction__66_files[[#This Row],[Publication date]],4)</f>
        <v>2023</v>
      </c>
      <c r="J28" s="37" t="s">
        <v>227</v>
      </c>
      <c r="K28" s="37" t="s">
        <v>450</v>
      </c>
      <c r="L28" s="37" t="s">
        <v>1478</v>
      </c>
      <c r="P28" s="37" t="s">
        <v>26</v>
      </c>
      <c r="Q28" s="37" t="s">
        <v>26</v>
      </c>
      <c r="S28" s="37" t="s">
        <v>26</v>
      </c>
      <c r="T28" s="37" t="s">
        <v>26</v>
      </c>
      <c r="U28" s="37" t="s">
        <v>26</v>
      </c>
      <c r="V28" s="37" t="s">
        <v>32</v>
      </c>
      <c r="X28" s="37" t="s">
        <v>26</v>
      </c>
      <c r="Y28" s="37" t="s">
        <v>1467</v>
      </c>
      <c r="Z28" s="37" t="s">
        <v>1560</v>
      </c>
      <c r="AA28" s="37" t="s">
        <v>1463</v>
      </c>
      <c r="AB28" s="38">
        <v>367</v>
      </c>
      <c r="AC28" s="37" t="s">
        <v>859</v>
      </c>
      <c r="AD28" s="37" t="s">
        <v>1670</v>
      </c>
      <c r="AE28" s="37" t="s">
        <v>1676</v>
      </c>
      <c r="AF28" s="37" t="s">
        <v>451</v>
      </c>
      <c r="AG28" s="37" t="s">
        <v>95</v>
      </c>
      <c r="AH28" s="37">
        <f>+COUNTIFS('Coded Segments'!$C$2:$C$913,SLR_Covidence_Data_Extraction__66_files[[#This Row],[Study ID_1]],'Coded Segments'!$D$2:$D$913,SLR_Covidence_Data_Extraction__66_files[[#Headers],[Adoption (AD) &gt; AD_High]])</f>
        <v>0</v>
      </c>
      <c r="AI28" s="37">
        <f>+COUNTIFS('Coded Segments'!$C$2:$C$913,SLR_Covidence_Data_Extraction__66_files[[#This Row],[Study ID_1]],'Coded Segments'!$D$2:$D$913,SLR_Covidence_Data_Extraction__66_files[[#Headers],[Adoption (AD) &gt; AD_Moderate]])</f>
        <v>0</v>
      </c>
      <c r="AJ28" s="37">
        <f>+COUNTIFS('Coded Segments'!$C$2:$C$913,SLR_Covidence_Data_Extraction__66_files[[#This Row],[Study ID_1]],'Coded Segments'!$D$2:$D$913,SLR_Covidence_Data_Extraction__66_files[[#Headers],[Adoption (AD) &gt; AD_Low]])</f>
        <v>0</v>
      </c>
      <c r="AK28" s="37">
        <f>+COUNTIFS('Coded Segments'!$C$2:$C$913,SLR_Covidence_Data_Extraction__66_files[[#This Row],[Study ID_1]],'Coded Segments'!$D$2:$D$913,SLR_Covidence_Data_Extraction__66_files[[#Headers],[Adoption (AD) &gt; AD_None]])</f>
        <v>0</v>
      </c>
      <c r="AL28" s="37">
        <f>+COUNTIFS('Coded Segments'!$C$2:$C$913,SLR_Covidence_Data_Extraction__66_files[[#This Row],[Study ID_1]],'Coded Segments'!$D$2:$D$913,SLR_Covidence_Data_Extraction__66_files[[#Headers],[Attitude (ATT) &gt; ATT_Negative]])</f>
        <v>0</v>
      </c>
      <c r="AM28" s="37">
        <f>+COUNTIFS('Coded Segments'!$C$2:$C$913,SLR_Covidence_Data_Extraction__66_files[[#This Row],[Study ID_1]],'Coded Segments'!$D$2:$D$913,SLR_Covidence_Data_Extraction__66_files[[#Headers],[Attitude (ATT) &gt; ATT_Positive]])</f>
        <v>10</v>
      </c>
      <c r="AN28" s="37">
        <f>+COUNTIFS('Coded Segments'!$C$2:$C$913,SLR_Covidence_Data_Extraction__66_files[[#This Row],[Study ID_1]],'Coded Segments'!$D$2:$D$913,SLR_Covidence_Data_Extraction__66_files[[#Headers],[Ethical Concerns (EC) &gt; EC_Bias]])</f>
        <v>0</v>
      </c>
      <c r="AO28" s="37">
        <f>+COUNTIFS('Coded Segments'!$C$2:$C$913,SLR_Covidence_Data_Extraction__66_files[[#This Row],[Study ID_1]],'Coded Segments'!$D$2:$D$913,SLR_Covidence_Data_Extraction__66_files[[#Headers],[Ethical Concerns (EC) &gt; EC_Copyright]])</f>
        <v>0</v>
      </c>
      <c r="AP28" s="37">
        <f>+COUNTIFS('Coded Segments'!$C$2:$C$913,SLR_Covidence_Data_Extraction__66_files[[#This Row],[Study ID_1]],'Coded Segments'!$D$2:$D$913,SLR_Covidence_Data_Extraction__66_files[[#Headers],[Ethical Concerns (EC) &gt; EC_Data safety &amp; confidentiality]])</f>
        <v>0</v>
      </c>
      <c r="AQ28" s="37">
        <f>+COUNTIFS('Coded Segments'!$C$2:$C$913,SLR_Covidence_Data_Extraction__66_files[[#This Row],[Study ID_1]],'Coded Segments'!$D$2:$D$913,SLR_Covidence_Data_Extraction__66_files[[#Headers],[Ethical Concerns (EC) &gt; EC_Environmental sustainability]])</f>
        <v>0</v>
      </c>
      <c r="AR28" s="37">
        <f>+COUNTIFS('Coded Segments'!$C$2:$C$913,SLR_Covidence_Data_Extraction__66_files[[#This Row],[Study ID_1]],'Coded Segments'!$D$2:$D$913,SLR_Covidence_Data_Extraction__66_files[[#Headers],[Ethical Concerns (EC) &gt; EC_Payment]])</f>
        <v>0</v>
      </c>
      <c r="AS28" s="37">
        <f>+COUNTIFS('Coded Segments'!$C$2:$C$912,SLR_Covidence_Data_Extraction__66_files[[#This Row],[Study ID_1]],'Coded Segments'!$D$2:$D$912,SLR_Covidence_Data_Extraction__66_files[[#Headers],[Ethical Concerns (EC) &gt; EC_Quality]])</f>
        <v>4</v>
      </c>
      <c r="AT28" s="37">
        <f>+COUNTIFS('Coded Segments'!$C$2:$C$913,SLR_Covidence_Data_Extraction__66_files[[#This Row],[Study ID_1]],'Coded Segments'!$D$2:$D$913,SLR_Covidence_Data_Extraction__66_files[[#Headers],[Ethical Concerns (EC) &gt; EC_Translators’ role &amp; status]])</f>
        <v>3</v>
      </c>
      <c r="AU28" s="37">
        <f>+COUNTIFS('Coded Segments'!$C$2:$C$913,SLR_Covidence_Data_Extraction__66_files[[#This Row],[Study ID_1]],'Coded Segments'!$D$2:$D$913,SLR_Covidence_Data_Extraction__66_files[[#Headers],[Ethical Concerns (EC) &gt; EC_Other]])</f>
        <v>0</v>
      </c>
      <c r="AV28" s="37">
        <f>+COUNTIFS('Coded Segments'!$C$2:$C$913,SLR_Covidence_Data_Extraction__66_files[[#This Row],[Study ID_1]],'Coded Segments'!$D$2:$D$913,SLR_Covidence_Data_Extraction__66_files[[#Headers],[Literacy (LIT) &gt; LIT_Generic]])</f>
        <v>1</v>
      </c>
      <c r="AW28" s="37">
        <f>+COUNTIFS('Coded Segments'!$C$2:$C$913,SLR_Covidence_Data_Extraction__66_files[[#This Row],[Study ID_1]],'Coded Segments'!$D$2:$D$913,SLR_Covidence_Data_Extraction__66_files[[#Headers],[Literacy (LIT) &gt; LIT_None ]])</f>
        <v>0</v>
      </c>
      <c r="AX28" s="37">
        <f>+COUNTIFS('Coded Segments'!$C$2:$C$913,SLR_Covidence_Data_Extraction__66_files[[#This Row],[Study ID_1]],'Coded Segments'!$D$2:$D$913,SLR_Covidence_Data_Extraction__66_files[[#Headers],[Literacy (LIT) &gt; LIT_Low ]])</f>
        <v>0</v>
      </c>
      <c r="AY28" s="37">
        <f>+COUNTIFS('Coded Segments'!$C$2:$C$913,SLR_Covidence_Data_Extraction__66_files[[#This Row],[Study ID_1]],'Coded Segments'!$D$2:$D$913,SLR_Covidence_Data_Extraction__66_files[[#Headers],[Literacy (LIT) &gt; LIT_High]])</f>
        <v>1</v>
      </c>
    </row>
    <row r="29" spans="1:51" x14ac:dyDescent="0.25">
      <c r="A29" s="37">
        <v>23</v>
      </c>
      <c r="B29" s="37" t="s">
        <v>566</v>
      </c>
      <c r="C29" s="37" t="s">
        <v>564</v>
      </c>
      <c r="D29" s="37" t="s">
        <v>565</v>
      </c>
      <c r="E29" s="37" t="s">
        <v>567</v>
      </c>
      <c r="F29" s="37" t="s">
        <v>341</v>
      </c>
      <c r="G29" s="37" t="s">
        <v>783</v>
      </c>
      <c r="H29" s="39" t="s">
        <v>874</v>
      </c>
      <c r="I29" s="39" t="str">
        <f>LEFT(SLR_Covidence_Data_Extraction__66_files[[#This Row],[Publication date]],4)</f>
        <v>2023</v>
      </c>
      <c r="J29" s="37" t="s">
        <v>769</v>
      </c>
      <c r="K29" s="37" t="s">
        <v>568</v>
      </c>
      <c r="L29" s="37" t="s">
        <v>1478</v>
      </c>
      <c r="P29" s="37" t="s">
        <v>28</v>
      </c>
      <c r="Q29" s="37" t="s">
        <v>28</v>
      </c>
      <c r="R29" s="37">
        <v>31</v>
      </c>
      <c r="S29" s="37" t="s">
        <v>479</v>
      </c>
      <c r="T29" s="37" t="s">
        <v>480</v>
      </c>
      <c r="U29" s="37" t="s">
        <v>77</v>
      </c>
      <c r="V29" s="37" t="s">
        <v>32</v>
      </c>
      <c r="X29" s="37" t="s">
        <v>569</v>
      </c>
      <c r="Y29" s="37" t="s">
        <v>79</v>
      </c>
      <c r="Z29" s="37" t="s">
        <v>136</v>
      </c>
      <c r="AA29" s="37" t="s">
        <v>1464</v>
      </c>
      <c r="AB29" s="38">
        <v>150</v>
      </c>
      <c r="AC29" s="37" t="s">
        <v>864</v>
      </c>
      <c r="AD29" s="37" t="s">
        <v>570</v>
      </c>
      <c r="AE29" s="37" t="s">
        <v>571</v>
      </c>
      <c r="AF29" s="37" t="s">
        <v>572</v>
      </c>
      <c r="AG29" s="37" t="s">
        <v>359</v>
      </c>
      <c r="AH29" s="37">
        <f>+COUNTIFS('Coded Segments'!$C$2:$C$913,SLR_Covidence_Data_Extraction__66_files[[#This Row],[Study ID_1]],'Coded Segments'!$D$2:$D$913,SLR_Covidence_Data_Extraction__66_files[[#Headers],[Adoption (AD) &gt; AD_High]])</f>
        <v>0</v>
      </c>
      <c r="AI29" s="37">
        <f>+COUNTIFS('Coded Segments'!$C$2:$C$913,SLR_Covidence_Data_Extraction__66_files[[#This Row],[Study ID_1]],'Coded Segments'!$D$2:$D$913,SLR_Covidence_Data_Extraction__66_files[[#Headers],[Adoption (AD) &gt; AD_Moderate]])</f>
        <v>0</v>
      </c>
      <c r="AJ29" s="37">
        <f>+COUNTIFS('Coded Segments'!$C$2:$C$913,SLR_Covidence_Data_Extraction__66_files[[#This Row],[Study ID_1]],'Coded Segments'!$D$2:$D$913,SLR_Covidence_Data_Extraction__66_files[[#Headers],[Adoption (AD) &gt; AD_Low]])</f>
        <v>0</v>
      </c>
      <c r="AK29" s="37">
        <f>+COUNTIFS('Coded Segments'!$C$2:$C$913,SLR_Covidence_Data_Extraction__66_files[[#This Row],[Study ID_1]],'Coded Segments'!$D$2:$D$913,SLR_Covidence_Data_Extraction__66_files[[#Headers],[Adoption (AD) &gt; AD_None]])</f>
        <v>0</v>
      </c>
      <c r="AL29" s="37">
        <f>+COUNTIFS('Coded Segments'!$C$2:$C$913,SLR_Covidence_Data_Extraction__66_files[[#This Row],[Study ID_1]],'Coded Segments'!$D$2:$D$913,SLR_Covidence_Data_Extraction__66_files[[#Headers],[Attitude (ATT) &gt; ATT_Negative]])</f>
        <v>6</v>
      </c>
      <c r="AM29" s="37">
        <f>+COUNTIFS('Coded Segments'!$C$2:$C$913,SLR_Covidence_Data_Extraction__66_files[[#This Row],[Study ID_1]],'Coded Segments'!$D$2:$D$913,SLR_Covidence_Data_Extraction__66_files[[#Headers],[Attitude (ATT) &gt; ATT_Positive]])</f>
        <v>0</v>
      </c>
      <c r="AN29" s="37">
        <f>+COUNTIFS('Coded Segments'!$C$2:$C$913,SLR_Covidence_Data_Extraction__66_files[[#This Row],[Study ID_1]],'Coded Segments'!$D$2:$D$913,SLR_Covidence_Data_Extraction__66_files[[#Headers],[Ethical Concerns (EC) &gt; EC_Bias]])</f>
        <v>0</v>
      </c>
      <c r="AO29" s="37">
        <f>+COUNTIFS('Coded Segments'!$C$2:$C$913,SLR_Covidence_Data_Extraction__66_files[[#This Row],[Study ID_1]],'Coded Segments'!$D$2:$D$913,SLR_Covidence_Data_Extraction__66_files[[#Headers],[Ethical Concerns (EC) &gt; EC_Copyright]])</f>
        <v>0</v>
      </c>
      <c r="AP29" s="37">
        <f>+COUNTIFS('Coded Segments'!$C$2:$C$913,SLR_Covidence_Data_Extraction__66_files[[#This Row],[Study ID_1]],'Coded Segments'!$D$2:$D$913,SLR_Covidence_Data_Extraction__66_files[[#Headers],[Ethical Concerns (EC) &gt; EC_Data safety &amp; confidentiality]])</f>
        <v>0</v>
      </c>
      <c r="AQ29" s="37">
        <f>+COUNTIFS('Coded Segments'!$C$2:$C$913,SLR_Covidence_Data_Extraction__66_files[[#This Row],[Study ID_1]],'Coded Segments'!$D$2:$D$913,SLR_Covidence_Data_Extraction__66_files[[#Headers],[Ethical Concerns (EC) &gt; EC_Environmental sustainability]])</f>
        <v>0</v>
      </c>
      <c r="AR29" s="37">
        <f>+COUNTIFS('Coded Segments'!$C$2:$C$913,SLR_Covidence_Data_Extraction__66_files[[#This Row],[Study ID_1]],'Coded Segments'!$D$2:$D$913,SLR_Covidence_Data_Extraction__66_files[[#Headers],[Ethical Concerns (EC) &gt; EC_Payment]])</f>
        <v>1</v>
      </c>
      <c r="AS29" s="37">
        <f>+COUNTIFS('Coded Segments'!$C$2:$C$912,SLR_Covidence_Data_Extraction__66_files[[#This Row],[Study ID_1]],'Coded Segments'!$D$2:$D$912,SLR_Covidence_Data_Extraction__66_files[[#Headers],[Ethical Concerns (EC) &gt; EC_Quality]])</f>
        <v>2</v>
      </c>
      <c r="AT29" s="37">
        <f>+COUNTIFS('Coded Segments'!$C$2:$C$913,SLR_Covidence_Data_Extraction__66_files[[#This Row],[Study ID_1]],'Coded Segments'!$D$2:$D$913,SLR_Covidence_Data_Extraction__66_files[[#Headers],[Ethical Concerns (EC) &gt; EC_Translators’ role &amp; status]])</f>
        <v>5</v>
      </c>
      <c r="AU29" s="37">
        <f>+COUNTIFS('Coded Segments'!$C$2:$C$913,SLR_Covidence_Data_Extraction__66_files[[#This Row],[Study ID_1]],'Coded Segments'!$D$2:$D$913,SLR_Covidence_Data_Extraction__66_files[[#Headers],[Ethical Concerns (EC) &gt; EC_Other]])</f>
        <v>0</v>
      </c>
      <c r="AV29" s="37">
        <f>+COUNTIFS('Coded Segments'!$C$2:$C$913,SLR_Covidence_Data_Extraction__66_files[[#This Row],[Study ID_1]],'Coded Segments'!$D$2:$D$913,SLR_Covidence_Data_Extraction__66_files[[#Headers],[Literacy (LIT) &gt; LIT_Generic]])</f>
        <v>0</v>
      </c>
      <c r="AW29" s="37">
        <f>+COUNTIFS('Coded Segments'!$C$2:$C$913,SLR_Covidence_Data_Extraction__66_files[[#This Row],[Study ID_1]],'Coded Segments'!$D$2:$D$913,SLR_Covidence_Data_Extraction__66_files[[#Headers],[Literacy (LIT) &gt; LIT_None ]])</f>
        <v>0</v>
      </c>
      <c r="AX29" s="37">
        <f>+COUNTIFS('Coded Segments'!$C$2:$C$913,SLR_Covidence_Data_Extraction__66_files[[#This Row],[Study ID_1]],'Coded Segments'!$D$2:$D$913,SLR_Covidence_Data_Extraction__66_files[[#Headers],[Literacy (LIT) &gt; LIT_Low ]])</f>
        <v>2</v>
      </c>
      <c r="AY29" s="37">
        <f>+COUNTIFS('Coded Segments'!$C$2:$C$913,SLR_Covidence_Data_Extraction__66_files[[#This Row],[Study ID_1]],'Coded Segments'!$D$2:$D$913,SLR_Covidence_Data_Extraction__66_files[[#Headers],[Literacy (LIT) &gt; LIT_High]])</f>
        <v>0</v>
      </c>
    </row>
    <row r="30" spans="1:51" x14ac:dyDescent="0.25">
      <c r="A30" s="37">
        <v>49</v>
      </c>
      <c r="B30" s="37" t="s">
        <v>399</v>
      </c>
      <c r="C30" s="37" t="s">
        <v>397</v>
      </c>
      <c r="D30" s="37" t="s">
        <v>398</v>
      </c>
      <c r="E30" s="37" t="s">
        <v>400</v>
      </c>
      <c r="F30" s="37" t="s">
        <v>401</v>
      </c>
      <c r="G30" s="37" t="s">
        <v>402</v>
      </c>
      <c r="H30" s="39" t="s">
        <v>854</v>
      </c>
      <c r="I30" s="39" t="str">
        <f>LEFT(SLR_Covidence_Data_Extraction__66_files[[#This Row],[Publication date]],4)</f>
        <v>2023</v>
      </c>
      <c r="J30" s="37" t="s">
        <v>402</v>
      </c>
      <c r="K30" s="37" t="s">
        <v>403</v>
      </c>
      <c r="L30" s="37" t="s">
        <v>1478</v>
      </c>
      <c r="P30" s="37" t="s">
        <v>28</v>
      </c>
      <c r="Q30" s="37" t="s">
        <v>28</v>
      </c>
      <c r="R30" s="37">
        <v>20</v>
      </c>
      <c r="S30" s="37" t="s">
        <v>404</v>
      </c>
      <c r="T30" s="37" t="s">
        <v>404</v>
      </c>
      <c r="U30" s="37" t="s">
        <v>405</v>
      </c>
      <c r="V30" s="37" t="s">
        <v>32</v>
      </c>
      <c r="X30" s="37" t="s">
        <v>406</v>
      </c>
      <c r="Y30" s="37" t="s">
        <v>231</v>
      </c>
      <c r="Z30" s="37" t="s">
        <v>136</v>
      </c>
      <c r="AA30" s="37" t="s">
        <v>1463</v>
      </c>
      <c r="AB30" s="38">
        <v>79</v>
      </c>
      <c r="AC30" s="37" t="s">
        <v>812</v>
      </c>
      <c r="AD30" s="37" t="s">
        <v>407</v>
      </c>
      <c r="AE30" s="37" t="s">
        <v>408</v>
      </c>
      <c r="AF30" s="37" t="s">
        <v>409</v>
      </c>
      <c r="AG30" s="37" t="s">
        <v>111</v>
      </c>
      <c r="AH30" s="37">
        <f>+COUNTIFS('Coded Segments'!$C$2:$C$913,SLR_Covidence_Data_Extraction__66_files[[#This Row],[Study ID_1]],'Coded Segments'!$D$2:$D$913,SLR_Covidence_Data_Extraction__66_files[[#Headers],[Adoption (AD) &gt; AD_High]])</f>
        <v>0</v>
      </c>
      <c r="AI30" s="37">
        <f>+COUNTIFS('Coded Segments'!$C$2:$C$913,SLR_Covidence_Data_Extraction__66_files[[#This Row],[Study ID_1]],'Coded Segments'!$D$2:$D$913,SLR_Covidence_Data_Extraction__66_files[[#Headers],[Adoption (AD) &gt; AD_Moderate]])</f>
        <v>1</v>
      </c>
      <c r="AJ30" s="37">
        <f>+COUNTIFS('Coded Segments'!$C$2:$C$913,SLR_Covidence_Data_Extraction__66_files[[#This Row],[Study ID_1]],'Coded Segments'!$D$2:$D$913,SLR_Covidence_Data_Extraction__66_files[[#Headers],[Adoption (AD) &gt; AD_Low]])</f>
        <v>0</v>
      </c>
      <c r="AK30" s="37">
        <f>+COUNTIFS('Coded Segments'!$C$2:$C$913,SLR_Covidence_Data_Extraction__66_files[[#This Row],[Study ID_1]],'Coded Segments'!$D$2:$D$913,SLR_Covidence_Data_Extraction__66_files[[#Headers],[Adoption (AD) &gt; AD_None]])</f>
        <v>0</v>
      </c>
      <c r="AL30" s="37">
        <f>+COUNTIFS('Coded Segments'!$C$2:$C$913,SLR_Covidence_Data_Extraction__66_files[[#This Row],[Study ID_1]],'Coded Segments'!$D$2:$D$913,SLR_Covidence_Data_Extraction__66_files[[#Headers],[Attitude (ATT) &gt; ATT_Negative]])</f>
        <v>8</v>
      </c>
      <c r="AM30" s="37">
        <f>+COUNTIFS('Coded Segments'!$C$2:$C$913,SLR_Covidence_Data_Extraction__66_files[[#This Row],[Study ID_1]],'Coded Segments'!$D$2:$D$913,SLR_Covidence_Data_Extraction__66_files[[#Headers],[Attitude (ATT) &gt; ATT_Positive]])</f>
        <v>2</v>
      </c>
      <c r="AN30" s="37">
        <f>+COUNTIFS('Coded Segments'!$C$2:$C$913,SLR_Covidence_Data_Extraction__66_files[[#This Row],[Study ID_1]],'Coded Segments'!$D$2:$D$913,SLR_Covidence_Data_Extraction__66_files[[#Headers],[Ethical Concerns (EC) &gt; EC_Bias]])</f>
        <v>0</v>
      </c>
      <c r="AO30" s="37">
        <f>+COUNTIFS('Coded Segments'!$C$2:$C$913,SLR_Covidence_Data_Extraction__66_files[[#This Row],[Study ID_1]],'Coded Segments'!$D$2:$D$913,SLR_Covidence_Data_Extraction__66_files[[#Headers],[Ethical Concerns (EC) &gt; EC_Copyright]])</f>
        <v>0</v>
      </c>
      <c r="AP30" s="37">
        <f>+COUNTIFS('Coded Segments'!$C$2:$C$913,SLR_Covidence_Data_Extraction__66_files[[#This Row],[Study ID_1]],'Coded Segments'!$D$2:$D$913,SLR_Covidence_Data_Extraction__66_files[[#Headers],[Ethical Concerns (EC) &gt; EC_Data safety &amp; confidentiality]])</f>
        <v>0</v>
      </c>
      <c r="AQ30" s="37">
        <f>+COUNTIFS('Coded Segments'!$C$2:$C$913,SLR_Covidence_Data_Extraction__66_files[[#This Row],[Study ID_1]],'Coded Segments'!$D$2:$D$913,SLR_Covidence_Data_Extraction__66_files[[#Headers],[Ethical Concerns (EC) &gt; EC_Environmental sustainability]])</f>
        <v>0</v>
      </c>
      <c r="AR30" s="37">
        <f>+COUNTIFS('Coded Segments'!$C$2:$C$913,SLR_Covidence_Data_Extraction__66_files[[#This Row],[Study ID_1]],'Coded Segments'!$D$2:$D$913,SLR_Covidence_Data_Extraction__66_files[[#Headers],[Ethical Concerns (EC) &gt; EC_Payment]])</f>
        <v>4</v>
      </c>
      <c r="AS30" s="37">
        <f>+COUNTIFS('Coded Segments'!$C$2:$C$912,SLR_Covidence_Data_Extraction__66_files[[#This Row],[Study ID_1]],'Coded Segments'!$D$2:$D$912,SLR_Covidence_Data_Extraction__66_files[[#Headers],[Ethical Concerns (EC) &gt; EC_Quality]])</f>
        <v>2</v>
      </c>
      <c r="AT30" s="37">
        <f>+COUNTIFS('Coded Segments'!$C$2:$C$913,SLR_Covidence_Data_Extraction__66_files[[#This Row],[Study ID_1]],'Coded Segments'!$D$2:$D$913,SLR_Covidence_Data_Extraction__66_files[[#Headers],[Ethical Concerns (EC) &gt; EC_Translators’ role &amp; status]])</f>
        <v>2</v>
      </c>
      <c r="AU30" s="37">
        <f>+COUNTIFS('Coded Segments'!$C$2:$C$913,SLR_Covidence_Data_Extraction__66_files[[#This Row],[Study ID_1]],'Coded Segments'!$D$2:$D$913,SLR_Covidence_Data_Extraction__66_files[[#Headers],[Ethical Concerns (EC) &gt; EC_Other]])</f>
        <v>0</v>
      </c>
      <c r="AV30" s="37">
        <f>+COUNTIFS('Coded Segments'!$C$2:$C$913,SLR_Covidence_Data_Extraction__66_files[[#This Row],[Study ID_1]],'Coded Segments'!$D$2:$D$913,SLR_Covidence_Data_Extraction__66_files[[#Headers],[Literacy (LIT) &gt; LIT_Generic]])</f>
        <v>1</v>
      </c>
      <c r="AW30" s="37">
        <f>+COUNTIFS('Coded Segments'!$C$2:$C$913,SLR_Covidence_Data_Extraction__66_files[[#This Row],[Study ID_1]],'Coded Segments'!$D$2:$D$913,SLR_Covidence_Data_Extraction__66_files[[#Headers],[Literacy (LIT) &gt; LIT_None ]])</f>
        <v>1</v>
      </c>
      <c r="AX30" s="37">
        <f>+COUNTIFS('Coded Segments'!$C$2:$C$913,SLR_Covidence_Data_Extraction__66_files[[#This Row],[Study ID_1]],'Coded Segments'!$D$2:$D$913,SLR_Covidence_Data_Extraction__66_files[[#Headers],[Literacy (LIT) &gt; LIT_Low ]])</f>
        <v>2</v>
      </c>
      <c r="AY30" s="37">
        <f>+COUNTIFS('Coded Segments'!$C$2:$C$913,SLR_Covidence_Data_Extraction__66_files[[#This Row],[Study ID_1]],'Coded Segments'!$D$2:$D$913,SLR_Covidence_Data_Extraction__66_files[[#Headers],[Literacy (LIT) &gt; LIT_High]])</f>
        <v>0</v>
      </c>
    </row>
    <row r="31" spans="1:51" x14ac:dyDescent="0.25">
      <c r="A31" s="37">
        <v>12</v>
      </c>
      <c r="B31" s="37" t="s">
        <v>664</v>
      </c>
      <c r="C31" s="37" t="s">
        <v>662</v>
      </c>
      <c r="D31" s="37" t="s">
        <v>663</v>
      </c>
      <c r="E31" s="37" t="s">
        <v>665</v>
      </c>
      <c r="F31" s="37" t="s">
        <v>666</v>
      </c>
      <c r="G31" s="37" t="s">
        <v>667</v>
      </c>
      <c r="H31" s="39" t="s">
        <v>887</v>
      </c>
      <c r="I31" s="39" t="str">
        <f>LEFT(SLR_Covidence_Data_Extraction__66_files[[#This Row],[Publication date]],4)</f>
        <v>2023</v>
      </c>
      <c r="J31" s="37" t="s">
        <v>667</v>
      </c>
      <c r="K31" s="37" t="s">
        <v>668</v>
      </c>
      <c r="N31" s="37" t="s">
        <v>1480</v>
      </c>
      <c r="P31" s="37" t="s">
        <v>26</v>
      </c>
      <c r="Q31" s="37" t="s">
        <v>26</v>
      </c>
      <c r="S31" s="37" t="s">
        <v>26</v>
      </c>
      <c r="T31" s="37" t="s">
        <v>26</v>
      </c>
      <c r="U31" s="37" t="s">
        <v>77</v>
      </c>
      <c r="V31" s="37" t="s">
        <v>32</v>
      </c>
      <c r="X31" s="37" t="s">
        <v>26</v>
      </c>
      <c r="Y31" s="37" t="s">
        <v>669</v>
      </c>
      <c r="Z31" s="37" t="s">
        <v>136</v>
      </c>
      <c r="AA31" s="37" t="s">
        <v>1468</v>
      </c>
      <c r="AB31" s="38">
        <v>21</v>
      </c>
      <c r="AC31" s="37" t="s">
        <v>801</v>
      </c>
      <c r="AD31" s="37" t="s">
        <v>670</v>
      </c>
      <c r="AE31" s="37" t="s">
        <v>671</v>
      </c>
      <c r="AF31" s="37" t="s">
        <v>672</v>
      </c>
      <c r="AG31" s="37" t="s">
        <v>38</v>
      </c>
      <c r="AH31" s="37">
        <f>+COUNTIFS('Coded Segments'!$C$2:$C$913,SLR_Covidence_Data_Extraction__66_files[[#This Row],[Study ID_1]],'Coded Segments'!$D$2:$D$913,SLR_Covidence_Data_Extraction__66_files[[#Headers],[Adoption (AD) &gt; AD_High]])</f>
        <v>1</v>
      </c>
      <c r="AI31" s="37">
        <f>+COUNTIFS('Coded Segments'!$C$2:$C$913,SLR_Covidence_Data_Extraction__66_files[[#This Row],[Study ID_1]],'Coded Segments'!$D$2:$D$913,SLR_Covidence_Data_Extraction__66_files[[#Headers],[Adoption (AD) &gt; AD_Moderate]])</f>
        <v>0</v>
      </c>
      <c r="AJ31" s="37">
        <f>+COUNTIFS('Coded Segments'!$C$2:$C$913,SLR_Covidence_Data_Extraction__66_files[[#This Row],[Study ID_1]],'Coded Segments'!$D$2:$D$913,SLR_Covidence_Data_Extraction__66_files[[#Headers],[Adoption (AD) &gt; AD_Low]])</f>
        <v>0</v>
      </c>
      <c r="AK31" s="37">
        <f>+COUNTIFS('Coded Segments'!$C$2:$C$913,SLR_Covidence_Data_Extraction__66_files[[#This Row],[Study ID_1]],'Coded Segments'!$D$2:$D$913,SLR_Covidence_Data_Extraction__66_files[[#Headers],[Adoption (AD) &gt; AD_None]])</f>
        <v>0</v>
      </c>
      <c r="AL31" s="37">
        <f>+COUNTIFS('Coded Segments'!$C$2:$C$913,SLR_Covidence_Data_Extraction__66_files[[#This Row],[Study ID_1]],'Coded Segments'!$D$2:$D$913,SLR_Covidence_Data_Extraction__66_files[[#Headers],[Attitude (ATT) &gt; ATT_Negative]])</f>
        <v>1</v>
      </c>
      <c r="AM31" s="37">
        <f>+COUNTIFS('Coded Segments'!$C$2:$C$913,SLR_Covidence_Data_Extraction__66_files[[#This Row],[Study ID_1]],'Coded Segments'!$D$2:$D$913,SLR_Covidence_Data_Extraction__66_files[[#Headers],[Attitude (ATT) &gt; ATT_Positive]])</f>
        <v>1</v>
      </c>
      <c r="AN31" s="37">
        <f>+COUNTIFS('Coded Segments'!$C$2:$C$913,SLR_Covidence_Data_Extraction__66_files[[#This Row],[Study ID_1]],'Coded Segments'!$D$2:$D$913,SLR_Covidence_Data_Extraction__66_files[[#Headers],[Ethical Concerns (EC) &gt; EC_Bias]])</f>
        <v>0</v>
      </c>
      <c r="AO31" s="37">
        <f>+COUNTIFS('Coded Segments'!$C$2:$C$913,SLR_Covidence_Data_Extraction__66_files[[#This Row],[Study ID_1]],'Coded Segments'!$D$2:$D$913,SLR_Covidence_Data_Extraction__66_files[[#Headers],[Ethical Concerns (EC) &gt; EC_Copyright]])</f>
        <v>0</v>
      </c>
      <c r="AP31" s="37">
        <f>+COUNTIFS('Coded Segments'!$C$2:$C$913,SLR_Covidence_Data_Extraction__66_files[[#This Row],[Study ID_1]],'Coded Segments'!$D$2:$D$913,SLR_Covidence_Data_Extraction__66_files[[#Headers],[Ethical Concerns (EC) &gt; EC_Data safety &amp; confidentiality]])</f>
        <v>1</v>
      </c>
      <c r="AQ31" s="37">
        <f>+COUNTIFS('Coded Segments'!$C$2:$C$913,SLR_Covidence_Data_Extraction__66_files[[#This Row],[Study ID_1]],'Coded Segments'!$D$2:$D$913,SLR_Covidence_Data_Extraction__66_files[[#Headers],[Ethical Concerns (EC) &gt; EC_Environmental sustainability]])</f>
        <v>0</v>
      </c>
      <c r="AR31" s="37">
        <f>+COUNTIFS('Coded Segments'!$C$2:$C$913,SLR_Covidence_Data_Extraction__66_files[[#This Row],[Study ID_1]],'Coded Segments'!$D$2:$D$913,SLR_Covidence_Data_Extraction__66_files[[#Headers],[Ethical Concerns (EC) &gt; EC_Payment]])</f>
        <v>1</v>
      </c>
      <c r="AS31" s="37">
        <f>+COUNTIFS('Coded Segments'!$C$2:$C$912,SLR_Covidence_Data_Extraction__66_files[[#This Row],[Study ID_1]],'Coded Segments'!$D$2:$D$912,SLR_Covidence_Data_Extraction__66_files[[#Headers],[Ethical Concerns (EC) &gt; EC_Quality]])</f>
        <v>3</v>
      </c>
      <c r="AT31" s="37">
        <f>+COUNTIFS('Coded Segments'!$C$2:$C$913,SLR_Covidence_Data_Extraction__66_files[[#This Row],[Study ID_1]],'Coded Segments'!$D$2:$D$913,SLR_Covidence_Data_Extraction__66_files[[#Headers],[Ethical Concerns (EC) &gt; EC_Translators’ role &amp; status]])</f>
        <v>1</v>
      </c>
      <c r="AU31" s="37">
        <f>+COUNTIFS('Coded Segments'!$C$2:$C$913,SLR_Covidence_Data_Extraction__66_files[[#This Row],[Study ID_1]],'Coded Segments'!$D$2:$D$913,SLR_Covidence_Data_Extraction__66_files[[#Headers],[Ethical Concerns (EC) &gt; EC_Other]])</f>
        <v>0</v>
      </c>
      <c r="AV31" s="37">
        <f>+COUNTIFS('Coded Segments'!$C$2:$C$913,SLR_Covidence_Data_Extraction__66_files[[#This Row],[Study ID_1]],'Coded Segments'!$D$2:$D$913,SLR_Covidence_Data_Extraction__66_files[[#Headers],[Literacy (LIT) &gt; LIT_Generic]])</f>
        <v>1</v>
      </c>
      <c r="AW31" s="37">
        <f>+COUNTIFS('Coded Segments'!$C$2:$C$913,SLR_Covidence_Data_Extraction__66_files[[#This Row],[Study ID_1]],'Coded Segments'!$D$2:$D$913,SLR_Covidence_Data_Extraction__66_files[[#Headers],[Literacy (LIT) &gt; LIT_None ]])</f>
        <v>0</v>
      </c>
      <c r="AX31" s="37">
        <f>+COUNTIFS('Coded Segments'!$C$2:$C$913,SLR_Covidence_Data_Extraction__66_files[[#This Row],[Study ID_1]],'Coded Segments'!$D$2:$D$913,SLR_Covidence_Data_Extraction__66_files[[#Headers],[Literacy (LIT) &gt; LIT_Low ]])</f>
        <v>0</v>
      </c>
      <c r="AY31" s="37">
        <f>+COUNTIFS('Coded Segments'!$C$2:$C$913,SLR_Covidence_Data_Extraction__66_files[[#This Row],[Study ID_1]],'Coded Segments'!$D$2:$D$913,SLR_Covidence_Data_Extraction__66_files[[#Headers],[Literacy (LIT) &gt; LIT_High]])</f>
        <v>0</v>
      </c>
    </row>
    <row r="32" spans="1:51" x14ac:dyDescent="0.25">
      <c r="A32" s="37">
        <v>73</v>
      </c>
      <c r="B32" s="37" t="s">
        <v>168</v>
      </c>
      <c r="C32" s="37" t="s">
        <v>167</v>
      </c>
      <c r="D32" s="37" t="s">
        <v>169</v>
      </c>
      <c r="E32" s="37" t="s">
        <v>170</v>
      </c>
      <c r="F32" s="37" t="s">
        <v>171</v>
      </c>
      <c r="G32" s="37" t="s">
        <v>777</v>
      </c>
      <c r="H32" s="39" t="s">
        <v>822</v>
      </c>
      <c r="I32" s="39" t="str">
        <f>LEFT(SLR_Covidence_Data_Extraction__66_files[[#This Row],[Publication date]],4)</f>
        <v>2023</v>
      </c>
      <c r="J32" s="37" t="s">
        <v>777</v>
      </c>
      <c r="K32" s="37" t="s">
        <v>172</v>
      </c>
      <c r="L32" s="37" t="s">
        <v>1478</v>
      </c>
      <c r="P32" s="37" t="s">
        <v>173</v>
      </c>
      <c r="Q32" s="37" t="s">
        <v>47</v>
      </c>
      <c r="R32" s="37">
        <v>19</v>
      </c>
      <c r="S32" s="37" t="s">
        <v>174</v>
      </c>
      <c r="T32" s="37" t="s">
        <v>175</v>
      </c>
      <c r="U32" s="37" t="s">
        <v>51</v>
      </c>
      <c r="V32" s="37" t="s">
        <v>32</v>
      </c>
      <c r="X32" s="37" t="s">
        <v>26</v>
      </c>
      <c r="Y32" s="37" t="s">
        <v>176</v>
      </c>
      <c r="Z32" s="37" t="s">
        <v>136</v>
      </c>
      <c r="AA32" s="37" t="s">
        <v>1463</v>
      </c>
      <c r="AB32" s="38">
        <v>106</v>
      </c>
      <c r="AC32" s="37" t="s">
        <v>823</v>
      </c>
      <c r="AD32" s="37" t="s">
        <v>177</v>
      </c>
      <c r="AE32" s="37" t="s">
        <v>178</v>
      </c>
      <c r="AF32" s="37" t="s">
        <v>179</v>
      </c>
      <c r="AG32" s="37" t="s">
        <v>180</v>
      </c>
      <c r="AH32" s="37">
        <f>+COUNTIFS('Coded Segments'!$C$2:$C$913,SLR_Covidence_Data_Extraction__66_files[[#This Row],[Study ID_1]],'Coded Segments'!$D$2:$D$913,SLR_Covidence_Data_Extraction__66_files[[#Headers],[Adoption (AD) &gt; AD_High]])</f>
        <v>0</v>
      </c>
      <c r="AI32" s="37">
        <f>+COUNTIFS('Coded Segments'!$C$2:$C$913,SLR_Covidence_Data_Extraction__66_files[[#This Row],[Study ID_1]],'Coded Segments'!$D$2:$D$913,SLR_Covidence_Data_Extraction__66_files[[#Headers],[Adoption (AD) &gt; AD_Moderate]])</f>
        <v>1</v>
      </c>
      <c r="AJ32" s="37">
        <f>+COUNTIFS('Coded Segments'!$C$2:$C$913,SLR_Covidence_Data_Extraction__66_files[[#This Row],[Study ID_1]],'Coded Segments'!$D$2:$D$913,SLR_Covidence_Data_Extraction__66_files[[#Headers],[Adoption (AD) &gt; AD_Low]])</f>
        <v>0</v>
      </c>
      <c r="AK32" s="37">
        <f>+COUNTIFS('Coded Segments'!$C$2:$C$913,SLR_Covidence_Data_Extraction__66_files[[#This Row],[Study ID_1]],'Coded Segments'!$D$2:$D$913,SLR_Covidence_Data_Extraction__66_files[[#Headers],[Adoption (AD) &gt; AD_None]])</f>
        <v>0</v>
      </c>
      <c r="AL32" s="37">
        <f>+COUNTIFS('Coded Segments'!$C$2:$C$913,SLR_Covidence_Data_Extraction__66_files[[#This Row],[Study ID_1]],'Coded Segments'!$D$2:$D$913,SLR_Covidence_Data_Extraction__66_files[[#Headers],[Attitude (ATT) &gt; ATT_Negative]])</f>
        <v>2</v>
      </c>
      <c r="AM32" s="37">
        <f>+COUNTIFS('Coded Segments'!$C$2:$C$913,SLR_Covidence_Data_Extraction__66_files[[#This Row],[Study ID_1]],'Coded Segments'!$D$2:$D$913,SLR_Covidence_Data_Extraction__66_files[[#Headers],[Attitude (ATT) &gt; ATT_Positive]])</f>
        <v>0</v>
      </c>
      <c r="AN32" s="37">
        <f>+COUNTIFS('Coded Segments'!$C$2:$C$913,SLR_Covidence_Data_Extraction__66_files[[#This Row],[Study ID_1]],'Coded Segments'!$D$2:$D$913,SLR_Covidence_Data_Extraction__66_files[[#Headers],[Ethical Concerns (EC) &gt; EC_Bias]])</f>
        <v>0</v>
      </c>
      <c r="AO32" s="37">
        <f>+COUNTIFS('Coded Segments'!$C$2:$C$913,SLR_Covidence_Data_Extraction__66_files[[#This Row],[Study ID_1]],'Coded Segments'!$D$2:$D$913,SLR_Covidence_Data_Extraction__66_files[[#Headers],[Ethical Concerns (EC) &gt; EC_Copyright]])</f>
        <v>0</v>
      </c>
      <c r="AP32" s="37">
        <f>+COUNTIFS('Coded Segments'!$C$2:$C$913,SLR_Covidence_Data_Extraction__66_files[[#This Row],[Study ID_1]],'Coded Segments'!$D$2:$D$913,SLR_Covidence_Data_Extraction__66_files[[#Headers],[Ethical Concerns (EC) &gt; EC_Data safety &amp; confidentiality]])</f>
        <v>0</v>
      </c>
      <c r="AQ32" s="37">
        <f>+COUNTIFS('Coded Segments'!$C$2:$C$913,SLR_Covidence_Data_Extraction__66_files[[#This Row],[Study ID_1]],'Coded Segments'!$D$2:$D$913,SLR_Covidence_Data_Extraction__66_files[[#Headers],[Ethical Concerns (EC) &gt; EC_Environmental sustainability]])</f>
        <v>0</v>
      </c>
      <c r="AR32" s="37">
        <f>+COUNTIFS('Coded Segments'!$C$2:$C$913,SLR_Covidence_Data_Extraction__66_files[[#This Row],[Study ID_1]],'Coded Segments'!$D$2:$D$913,SLR_Covidence_Data_Extraction__66_files[[#Headers],[Ethical Concerns (EC) &gt; EC_Payment]])</f>
        <v>0</v>
      </c>
      <c r="AS32" s="37">
        <f>+COUNTIFS('Coded Segments'!$C$2:$C$912,SLR_Covidence_Data_Extraction__66_files[[#This Row],[Study ID_1]],'Coded Segments'!$D$2:$D$912,SLR_Covidence_Data_Extraction__66_files[[#Headers],[Ethical Concerns (EC) &gt; EC_Quality]])</f>
        <v>2</v>
      </c>
      <c r="AT32" s="37">
        <f>+COUNTIFS('Coded Segments'!$C$2:$C$913,SLR_Covidence_Data_Extraction__66_files[[#This Row],[Study ID_1]],'Coded Segments'!$D$2:$D$913,SLR_Covidence_Data_Extraction__66_files[[#Headers],[Ethical Concerns (EC) &gt; EC_Translators’ role &amp; status]])</f>
        <v>1</v>
      </c>
      <c r="AU32" s="37">
        <f>+COUNTIFS('Coded Segments'!$C$2:$C$913,SLR_Covidence_Data_Extraction__66_files[[#This Row],[Study ID_1]],'Coded Segments'!$D$2:$D$913,SLR_Covidence_Data_Extraction__66_files[[#Headers],[Ethical Concerns (EC) &gt; EC_Other]])</f>
        <v>0</v>
      </c>
      <c r="AV32" s="37">
        <f>+COUNTIFS('Coded Segments'!$C$2:$C$913,SLR_Covidence_Data_Extraction__66_files[[#This Row],[Study ID_1]],'Coded Segments'!$D$2:$D$913,SLR_Covidence_Data_Extraction__66_files[[#Headers],[Literacy (LIT) &gt; LIT_Generic]])</f>
        <v>0</v>
      </c>
      <c r="AW32" s="37">
        <f>+COUNTIFS('Coded Segments'!$C$2:$C$913,SLR_Covidence_Data_Extraction__66_files[[#This Row],[Study ID_1]],'Coded Segments'!$D$2:$D$913,SLR_Covidence_Data_Extraction__66_files[[#Headers],[Literacy (LIT) &gt; LIT_None ]])</f>
        <v>0</v>
      </c>
      <c r="AX32" s="37">
        <f>+COUNTIFS('Coded Segments'!$C$2:$C$913,SLR_Covidence_Data_Extraction__66_files[[#This Row],[Study ID_1]],'Coded Segments'!$D$2:$D$913,SLR_Covidence_Data_Extraction__66_files[[#Headers],[Literacy (LIT) &gt; LIT_Low ]])</f>
        <v>0</v>
      </c>
      <c r="AY32" s="37">
        <f>+COUNTIFS('Coded Segments'!$C$2:$C$913,SLR_Covidence_Data_Extraction__66_files[[#This Row],[Study ID_1]],'Coded Segments'!$D$2:$D$913,SLR_Covidence_Data_Extraction__66_files[[#Headers],[Literacy (LIT) &gt; LIT_High]])</f>
        <v>0</v>
      </c>
    </row>
    <row r="33" spans="1:51" x14ac:dyDescent="0.25">
      <c r="A33" s="37">
        <v>86</v>
      </c>
      <c r="B33" s="37" t="s">
        <v>918</v>
      </c>
      <c r="C33" s="37" t="s">
        <v>917</v>
      </c>
      <c r="D33" s="37" t="s">
        <v>919</v>
      </c>
      <c r="E33" s="37" t="s">
        <v>920</v>
      </c>
      <c r="F33" s="37" t="s">
        <v>921</v>
      </c>
      <c r="G33" s="37" t="s">
        <v>402</v>
      </c>
      <c r="H33" s="37" t="s">
        <v>922</v>
      </c>
      <c r="I33" s="39" t="str">
        <f>LEFT(SLR_Covidence_Data_Extraction__66_files[[#This Row],[Publication date]],4)</f>
        <v>2023</v>
      </c>
      <c r="J33" s="37" t="s">
        <v>402</v>
      </c>
      <c r="K33" s="37" t="s">
        <v>923</v>
      </c>
      <c r="L33" s="37" t="s">
        <v>1478</v>
      </c>
      <c r="P33" s="37" t="s">
        <v>26</v>
      </c>
      <c r="Q33" s="37" t="s">
        <v>26</v>
      </c>
      <c r="U33" s="37" t="s">
        <v>51</v>
      </c>
      <c r="V33" s="37" t="s">
        <v>32</v>
      </c>
      <c r="X33" s="37" t="s">
        <v>26</v>
      </c>
      <c r="Y33" s="37" t="s">
        <v>924</v>
      </c>
      <c r="Z33" s="37" t="s">
        <v>136</v>
      </c>
      <c r="AA33" s="37" t="s">
        <v>1463</v>
      </c>
      <c r="AB33" s="38">
        <v>92</v>
      </c>
      <c r="AC33" s="37"/>
      <c r="AD33" s="37" t="s">
        <v>925</v>
      </c>
      <c r="AE33" s="37" t="s">
        <v>926</v>
      </c>
      <c r="AF33" s="37" t="s">
        <v>927</v>
      </c>
      <c r="AG33" s="37" t="s">
        <v>64</v>
      </c>
      <c r="AH33" s="37">
        <f>+COUNTIFS('Coded Segments'!$C$2:$C$913,SLR_Covidence_Data_Extraction__66_files[[#This Row],[Study ID_1]],'Coded Segments'!$D$2:$D$913,SLR_Covidence_Data_Extraction__66_files[[#Headers],[Adoption (AD) &gt; AD_High]])</f>
        <v>2</v>
      </c>
      <c r="AI33" s="37">
        <f>+COUNTIFS('Coded Segments'!$C$2:$C$913,SLR_Covidence_Data_Extraction__66_files[[#This Row],[Study ID_1]],'Coded Segments'!$D$2:$D$913,SLR_Covidence_Data_Extraction__66_files[[#Headers],[Adoption (AD) &gt; AD_Moderate]])</f>
        <v>0</v>
      </c>
      <c r="AJ33" s="37">
        <f>+COUNTIFS('Coded Segments'!$C$2:$C$913,SLR_Covidence_Data_Extraction__66_files[[#This Row],[Study ID_1]],'Coded Segments'!$D$2:$D$913,SLR_Covidence_Data_Extraction__66_files[[#Headers],[Adoption (AD) &gt; AD_Low]])</f>
        <v>0</v>
      </c>
      <c r="AK33" s="37">
        <f>+COUNTIFS('Coded Segments'!$C$2:$C$913,SLR_Covidence_Data_Extraction__66_files[[#This Row],[Study ID_1]],'Coded Segments'!$D$2:$D$913,SLR_Covidence_Data_Extraction__66_files[[#Headers],[Adoption (AD) &gt; AD_None]])</f>
        <v>0</v>
      </c>
      <c r="AL33" s="37">
        <f>+COUNTIFS('Coded Segments'!$C$2:$C$913,SLR_Covidence_Data_Extraction__66_files[[#This Row],[Study ID_1]],'Coded Segments'!$D$2:$D$913,SLR_Covidence_Data_Extraction__66_files[[#Headers],[Attitude (ATT) &gt; ATT_Negative]])</f>
        <v>9</v>
      </c>
      <c r="AM33" s="37">
        <f>+COUNTIFS('Coded Segments'!$C$2:$C$913,SLR_Covidence_Data_Extraction__66_files[[#This Row],[Study ID_1]],'Coded Segments'!$D$2:$D$913,SLR_Covidence_Data_Extraction__66_files[[#Headers],[Attitude (ATT) &gt; ATT_Positive]])</f>
        <v>3</v>
      </c>
      <c r="AN33" s="37">
        <f>+COUNTIFS('Coded Segments'!$C$2:$C$913,SLR_Covidence_Data_Extraction__66_files[[#This Row],[Study ID_1]],'Coded Segments'!$D$2:$D$913,SLR_Covidence_Data_Extraction__66_files[[#Headers],[Ethical Concerns (EC) &gt; EC_Bias]])</f>
        <v>0</v>
      </c>
      <c r="AO33" s="37">
        <f>+COUNTIFS('Coded Segments'!$C$2:$C$913,SLR_Covidence_Data_Extraction__66_files[[#This Row],[Study ID_1]],'Coded Segments'!$D$2:$D$913,SLR_Covidence_Data_Extraction__66_files[[#Headers],[Ethical Concerns (EC) &gt; EC_Copyright]])</f>
        <v>0</v>
      </c>
      <c r="AP33" s="37">
        <f>+COUNTIFS('Coded Segments'!$C$2:$C$913,SLR_Covidence_Data_Extraction__66_files[[#This Row],[Study ID_1]],'Coded Segments'!$D$2:$D$913,SLR_Covidence_Data_Extraction__66_files[[#Headers],[Ethical Concerns (EC) &gt; EC_Data safety &amp; confidentiality]])</f>
        <v>0</v>
      </c>
      <c r="AQ33" s="37">
        <f>+COUNTIFS('Coded Segments'!$C$2:$C$913,SLR_Covidence_Data_Extraction__66_files[[#This Row],[Study ID_1]],'Coded Segments'!$D$2:$D$913,SLR_Covidence_Data_Extraction__66_files[[#Headers],[Ethical Concerns (EC) &gt; EC_Environmental sustainability]])</f>
        <v>0</v>
      </c>
      <c r="AR33" s="37">
        <f>+COUNTIFS('Coded Segments'!$C$2:$C$913,SLR_Covidence_Data_Extraction__66_files[[#This Row],[Study ID_1]],'Coded Segments'!$D$2:$D$913,SLR_Covidence_Data_Extraction__66_files[[#Headers],[Ethical Concerns (EC) &gt; EC_Payment]])</f>
        <v>1</v>
      </c>
      <c r="AS33" s="37">
        <f>+COUNTIFS('Coded Segments'!$C$2:$C$912,SLR_Covidence_Data_Extraction__66_files[[#This Row],[Study ID_1]],'Coded Segments'!$D$2:$D$912,SLR_Covidence_Data_Extraction__66_files[[#Headers],[Ethical Concerns (EC) &gt; EC_Quality]])</f>
        <v>2</v>
      </c>
      <c r="AT33" s="37">
        <f>+COUNTIFS('Coded Segments'!$C$2:$C$913,SLR_Covidence_Data_Extraction__66_files[[#This Row],[Study ID_1]],'Coded Segments'!$D$2:$D$913,SLR_Covidence_Data_Extraction__66_files[[#Headers],[Ethical Concerns (EC) &gt; EC_Translators’ role &amp; status]])</f>
        <v>4</v>
      </c>
      <c r="AU33" s="37">
        <f>+COUNTIFS('Coded Segments'!$C$2:$C$913,SLR_Covidence_Data_Extraction__66_files[[#This Row],[Study ID_1]],'Coded Segments'!$D$2:$D$913,SLR_Covidence_Data_Extraction__66_files[[#Headers],[Ethical Concerns (EC) &gt; EC_Other]])</f>
        <v>0</v>
      </c>
      <c r="AV33" s="37">
        <f>+COUNTIFS('Coded Segments'!$C$2:$C$913,SLR_Covidence_Data_Extraction__66_files[[#This Row],[Study ID_1]],'Coded Segments'!$D$2:$D$913,SLR_Covidence_Data_Extraction__66_files[[#Headers],[Literacy (LIT) &gt; LIT_Generic]])</f>
        <v>0</v>
      </c>
      <c r="AW33" s="37">
        <f>+COUNTIFS('Coded Segments'!$C$2:$C$913,SLR_Covidence_Data_Extraction__66_files[[#This Row],[Study ID_1]],'Coded Segments'!$D$2:$D$913,SLR_Covidence_Data_Extraction__66_files[[#Headers],[Literacy (LIT) &gt; LIT_None ]])</f>
        <v>0</v>
      </c>
      <c r="AX33" s="37">
        <f>+COUNTIFS('Coded Segments'!$C$2:$C$913,SLR_Covidence_Data_Extraction__66_files[[#This Row],[Study ID_1]],'Coded Segments'!$D$2:$D$913,SLR_Covidence_Data_Extraction__66_files[[#Headers],[Literacy (LIT) &gt; LIT_Low ]])</f>
        <v>0</v>
      </c>
      <c r="AY33" s="37">
        <f>+COUNTIFS('Coded Segments'!$C$2:$C$913,SLR_Covidence_Data_Extraction__66_files[[#This Row],[Study ID_1]],'Coded Segments'!$D$2:$D$913,SLR_Covidence_Data_Extraction__66_files[[#Headers],[Literacy (LIT) &gt; LIT_High]])</f>
        <v>2</v>
      </c>
    </row>
    <row r="34" spans="1:51" x14ac:dyDescent="0.25">
      <c r="A34" s="37">
        <v>44</v>
      </c>
      <c r="B34" s="37" t="s">
        <v>422</v>
      </c>
      <c r="C34" s="37" t="s">
        <v>421</v>
      </c>
      <c r="D34" s="37" t="s">
        <v>423</v>
      </c>
      <c r="E34" s="37" t="s">
        <v>424</v>
      </c>
      <c r="F34" s="37" t="s">
        <v>425</v>
      </c>
      <c r="G34" s="37" t="s">
        <v>1477</v>
      </c>
      <c r="H34" s="39" t="s">
        <v>857</v>
      </c>
      <c r="I34" s="39" t="str">
        <f>LEFT(SLR_Covidence_Data_Extraction__66_files[[#This Row],[Publication date]],4)</f>
        <v>2023</v>
      </c>
      <c r="J34" s="37" t="s">
        <v>146</v>
      </c>
      <c r="K34" s="37" t="s">
        <v>426</v>
      </c>
      <c r="L34" s="37" t="s">
        <v>1478</v>
      </c>
      <c r="N34" s="37" t="s">
        <v>1480</v>
      </c>
      <c r="P34" s="37" t="s">
        <v>28</v>
      </c>
      <c r="Q34" s="37" t="s">
        <v>28</v>
      </c>
      <c r="R34" s="37">
        <v>12</v>
      </c>
      <c r="S34" s="37" t="s">
        <v>26</v>
      </c>
      <c r="T34" s="37" t="s">
        <v>26</v>
      </c>
      <c r="U34" s="37" t="s">
        <v>51</v>
      </c>
      <c r="V34" s="37" t="s">
        <v>32</v>
      </c>
      <c r="X34" s="37" t="s">
        <v>427</v>
      </c>
      <c r="Y34" s="37" t="s">
        <v>428</v>
      </c>
      <c r="Z34" s="37" t="s">
        <v>1560</v>
      </c>
      <c r="AA34" s="37" t="s">
        <v>1463</v>
      </c>
      <c r="AB34" s="38">
        <v>22</v>
      </c>
      <c r="AC34" s="37" t="s">
        <v>74</v>
      </c>
      <c r="AD34" s="37" t="s">
        <v>429</v>
      </c>
      <c r="AE34" s="37" t="s">
        <v>430</v>
      </c>
      <c r="AF34" s="37" t="s">
        <v>431</v>
      </c>
      <c r="AG34" s="37" t="s">
        <v>232</v>
      </c>
      <c r="AH34" s="37">
        <f>+COUNTIFS('Coded Segments'!$C$2:$C$913,SLR_Covidence_Data_Extraction__66_files[[#This Row],[Study ID_1]],'Coded Segments'!$D$2:$D$913,SLR_Covidence_Data_Extraction__66_files[[#Headers],[Adoption (AD) &gt; AD_High]])</f>
        <v>1</v>
      </c>
      <c r="AI34" s="37">
        <f>+COUNTIFS('Coded Segments'!$C$2:$C$913,SLR_Covidence_Data_Extraction__66_files[[#This Row],[Study ID_1]],'Coded Segments'!$D$2:$D$913,SLR_Covidence_Data_Extraction__66_files[[#Headers],[Adoption (AD) &gt; AD_Moderate]])</f>
        <v>0</v>
      </c>
      <c r="AJ34" s="37">
        <f>+COUNTIFS('Coded Segments'!$C$2:$C$913,SLR_Covidence_Data_Extraction__66_files[[#This Row],[Study ID_1]],'Coded Segments'!$D$2:$D$913,SLR_Covidence_Data_Extraction__66_files[[#Headers],[Adoption (AD) &gt; AD_Low]])</f>
        <v>0</v>
      </c>
      <c r="AK34" s="37">
        <f>+COUNTIFS('Coded Segments'!$C$2:$C$913,SLR_Covidence_Data_Extraction__66_files[[#This Row],[Study ID_1]],'Coded Segments'!$D$2:$D$913,SLR_Covidence_Data_Extraction__66_files[[#Headers],[Adoption (AD) &gt; AD_None]])</f>
        <v>0</v>
      </c>
      <c r="AL34" s="37">
        <f>+COUNTIFS('Coded Segments'!$C$2:$C$913,SLR_Covidence_Data_Extraction__66_files[[#This Row],[Study ID_1]],'Coded Segments'!$D$2:$D$913,SLR_Covidence_Data_Extraction__66_files[[#Headers],[Attitude (ATT) &gt; ATT_Negative]])</f>
        <v>1</v>
      </c>
      <c r="AM34" s="37">
        <f>+COUNTIFS('Coded Segments'!$C$2:$C$913,SLR_Covidence_Data_Extraction__66_files[[#This Row],[Study ID_1]],'Coded Segments'!$D$2:$D$913,SLR_Covidence_Data_Extraction__66_files[[#Headers],[Attitude (ATT) &gt; ATT_Positive]])</f>
        <v>1</v>
      </c>
      <c r="AN34" s="37">
        <f>+COUNTIFS('Coded Segments'!$C$2:$C$913,SLR_Covidence_Data_Extraction__66_files[[#This Row],[Study ID_1]],'Coded Segments'!$D$2:$D$913,SLR_Covidence_Data_Extraction__66_files[[#Headers],[Ethical Concerns (EC) &gt; EC_Bias]])</f>
        <v>0</v>
      </c>
      <c r="AO34" s="37">
        <f>+COUNTIFS('Coded Segments'!$C$2:$C$913,SLR_Covidence_Data_Extraction__66_files[[#This Row],[Study ID_1]],'Coded Segments'!$D$2:$D$913,SLR_Covidence_Data_Extraction__66_files[[#Headers],[Ethical Concerns (EC) &gt; EC_Copyright]])</f>
        <v>0</v>
      </c>
      <c r="AP34" s="37">
        <f>+COUNTIFS('Coded Segments'!$C$2:$C$913,SLR_Covidence_Data_Extraction__66_files[[#This Row],[Study ID_1]],'Coded Segments'!$D$2:$D$913,SLR_Covidence_Data_Extraction__66_files[[#Headers],[Ethical Concerns (EC) &gt; EC_Data safety &amp; confidentiality]])</f>
        <v>0</v>
      </c>
      <c r="AQ34" s="37">
        <f>+COUNTIFS('Coded Segments'!$C$2:$C$913,SLR_Covidence_Data_Extraction__66_files[[#This Row],[Study ID_1]],'Coded Segments'!$D$2:$D$913,SLR_Covidence_Data_Extraction__66_files[[#Headers],[Ethical Concerns (EC) &gt; EC_Environmental sustainability]])</f>
        <v>0</v>
      </c>
      <c r="AR34" s="37">
        <f>+COUNTIFS('Coded Segments'!$C$2:$C$913,SLR_Covidence_Data_Extraction__66_files[[#This Row],[Study ID_1]],'Coded Segments'!$D$2:$D$913,SLR_Covidence_Data_Extraction__66_files[[#Headers],[Ethical Concerns (EC) &gt; EC_Payment]])</f>
        <v>0</v>
      </c>
      <c r="AS34" s="37">
        <f>+COUNTIFS('Coded Segments'!$C$2:$C$912,SLR_Covidence_Data_Extraction__66_files[[#This Row],[Study ID_1]],'Coded Segments'!$D$2:$D$912,SLR_Covidence_Data_Extraction__66_files[[#Headers],[Ethical Concerns (EC) &gt; EC_Quality]])</f>
        <v>1</v>
      </c>
      <c r="AT34" s="37">
        <f>+COUNTIFS('Coded Segments'!$C$2:$C$913,SLR_Covidence_Data_Extraction__66_files[[#This Row],[Study ID_1]],'Coded Segments'!$D$2:$D$913,SLR_Covidence_Data_Extraction__66_files[[#Headers],[Ethical Concerns (EC) &gt; EC_Translators’ role &amp; status]])</f>
        <v>0</v>
      </c>
      <c r="AU34" s="37">
        <f>+COUNTIFS('Coded Segments'!$C$2:$C$913,SLR_Covidence_Data_Extraction__66_files[[#This Row],[Study ID_1]],'Coded Segments'!$D$2:$D$913,SLR_Covidence_Data_Extraction__66_files[[#Headers],[Ethical Concerns (EC) &gt; EC_Other]])</f>
        <v>0</v>
      </c>
      <c r="AV34" s="37">
        <f>+COUNTIFS('Coded Segments'!$C$2:$C$913,SLR_Covidence_Data_Extraction__66_files[[#This Row],[Study ID_1]],'Coded Segments'!$D$2:$D$913,SLR_Covidence_Data_Extraction__66_files[[#Headers],[Literacy (LIT) &gt; LIT_Generic]])</f>
        <v>0</v>
      </c>
      <c r="AW34" s="37">
        <f>+COUNTIFS('Coded Segments'!$C$2:$C$913,SLR_Covidence_Data_Extraction__66_files[[#This Row],[Study ID_1]],'Coded Segments'!$D$2:$D$913,SLR_Covidence_Data_Extraction__66_files[[#Headers],[Literacy (LIT) &gt; LIT_None ]])</f>
        <v>0</v>
      </c>
      <c r="AX34" s="37">
        <f>+COUNTIFS('Coded Segments'!$C$2:$C$913,SLR_Covidence_Data_Extraction__66_files[[#This Row],[Study ID_1]],'Coded Segments'!$D$2:$D$913,SLR_Covidence_Data_Extraction__66_files[[#Headers],[Literacy (LIT) &gt; LIT_Low ]])</f>
        <v>0</v>
      </c>
      <c r="AY34" s="37">
        <f>+COUNTIFS('Coded Segments'!$C$2:$C$913,SLR_Covidence_Data_Extraction__66_files[[#This Row],[Study ID_1]],'Coded Segments'!$D$2:$D$913,SLR_Covidence_Data_Extraction__66_files[[#Headers],[Literacy (LIT) &gt; LIT_High]])</f>
        <v>0</v>
      </c>
    </row>
    <row r="35" spans="1:51" x14ac:dyDescent="0.25">
      <c r="A35" s="37">
        <v>16</v>
      </c>
      <c r="B35" s="37" t="s">
        <v>616</v>
      </c>
      <c r="C35" s="37" t="s">
        <v>614</v>
      </c>
      <c r="D35" s="37" t="s">
        <v>615</v>
      </c>
      <c r="E35" s="37" t="s">
        <v>617</v>
      </c>
      <c r="F35" s="37" t="s">
        <v>618</v>
      </c>
      <c r="G35" s="37" t="s">
        <v>88</v>
      </c>
      <c r="H35" s="39" t="s">
        <v>879</v>
      </c>
      <c r="I35" s="39" t="str">
        <f>LEFT(SLR_Covidence_Data_Extraction__66_files[[#This Row],[Publication date]],4)</f>
        <v>2024</v>
      </c>
      <c r="J35" s="37" t="s">
        <v>88</v>
      </c>
      <c r="K35" s="37" t="s">
        <v>619</v>
      </c>
      <c r="L35" s="37" t="s">
        <v>1478</v>
      </c>
      <c r="P35" s="37" t="s">
        <v>26</v>
      </c>
      <c r="Q35" s="37" t="s">
        <v>26</v>
      </c>
      <c r="S35" s="37" t="s">
        <v>620</v>
      </c>
      <c r="T35" s="37" t="s">
        <v>621</v>
      </c>
      <c r="U35" s="37" t="s">
        <v>31</v>
      </c>
      <c r="V35" s="37" t="s">
        <v>32</v>
      </c>
      <c r="X35" s="37" t="s">
        <v>26</v>
      </c>
      <c r="Y35" s="37" t="s">
        <v>622</v>
      </c>
      <c r="Z35" s="37" t="s">
        <v>136</v>
      </c>
      <c r="AA35" s="37" t="s">
        <v>1463</v>
      </c>
      <c r="AB35" s="38">
        <v>82</v>
      </c>
      <c r="AC35" s="37" t="s">
        <v>880</v>
      </c>
      <c r="AD35" s="37" t="s">
        <v>623</v>
      </c>
      <c r="AE35" s="37" t="s">
        <v>624</v>
      </c>
      <c r="AF35" s="37" t="s">
        <v>625</v>
      </c>
      <c r="AG35" s="37" t="s">
        <v>180</v>
      </c>
      <c r="AH35" s="37">
        <f>+COUNTIFS('Coded Segments'!$C$2:$C$913,SLR_Covidence_Data_Extraction__66_files[[#This Row],[Study ID_1]],'Coded Segments'!$D$2:$D$913,SLR_Covidence_Data_Extraction__66_files[[#Headers],[Adoption (AD) &gt; AD_High]])</f>
        <v>1</v>
      </c>
      <c r="AI35" s="37">
        <f>+COUNTIFS('Coded Segments'!$C$2:$C$913,SLR_Covidence_Data_Extraction__66_files[[#This Row],[Study ID_1]],'Coded Segments'!$D$2:$D$913,SLR_Covidence_Data_Extraction__66_files[[#Headers],[Adoption (AD) &gt; AD_Moderate]])</f>
        <v>0</v>
      </c>
      <c r="AJ35" s="37">
        <f>+COUNTIFS('Coded Segments'!$C$2:$C$913,SLR_Covidence_Data_Extraction__66_files[[#This Row],[Study ID_1]],'Coded Segments'!$D$2:$D$913,SLR_Covidence_Data_Extraction__66_files[[#Headers],[Adoption (AD) &gt; AD_Low]])</f>
        <v>0</v>
      </c>
      <c r="AK35" s="37">
        <f>+COUNTIFS('Coded Segments'!$C$2:$C$913,SLR_Covidence_Data_Extraction__66_files[[#This Row],[Study ID_1]],'Coded Segments'!$D$2:$D$913,SLR_Covidence_Data_Extraction__66_files[[#Headers],[Adoption (AD) &gt; AD_None]])</f>
        <v>0</v>
      </c>
      <c r="AL35" s="37">
        <f>+COUNTIFS('Coded Segments'!$C$2:$C$913,SLR_Covidence_Data_Extraction__66_files[[#This Row],[Study ID_1]],'Coded Segments'!$D$2:$D$913,SLR_Covidence_Data_Extraction__66_files[[#Headers],[Attitude (ATT) &gt; ATT_Negative]])</f>
        <v>5</v>
      </c>
      <c r="AM35" s="37">
        <f>+COUNTIFS('Coded Segments'!$C$2:$C$913,SLR_Covidence_Data_Extraction__66_files[[#This Row],[Study ID_1]],'Coded Segments'!$D$2:$D$913,SLR_Covidence_Data_Extraction__66_files[[#Headers],[Attitude (ATT) &gt; ATT_Positive]])</f>
        <v>2</v>
      </c>
      <c r="AN35" s="37">
        <f>+COUNTIFS('Coded Segments'!$C$2:$C$913,SLR_Covidence_Data_Extraction__66_files[[#This Row],[Study ID_1]],'Coded Segments'!$D$2:$D$913,SLR_Covidence_Data_Extraction__66_files[[#Headers],[Ethical Concerns (EC) &gt; EC_Bias]])</f>
        <v>0</v>
      </c>
      <c r="AO35" s="37">
        <f>+COUNTIFS('Coded Segments'!$C$2:$C$913,SLR_Covidence_Data_Extraction__66_files[[#This Row],[Study ID_1]],'Coded Segments'!$D$2:$D$913,SLR_Covidence_Data_Extraction__66_files[[#Headers],[Ethical Concerns (EC) &gt; EC_Copyright]])</f>
        <v>0</v>
      </c>
      <c r="AP35" s="37">
        <f>+COUNTIFS('Coded Segments'!$C$2:$C$913,SLR_Covidence_Data_Extraction__66_files[[#This Row],[Study ID_1]],'Coded Segments'!$D$2:$D$913,SLR_Covidence_Data_Extraction__66_files[[#Headers],[Ethical Concerns (EC) &gt; EC_Data safety &amp; confidentiality]])</f>
        <v>0</v>
      </c>
      <c r="AQ35" s="37">
        <f>+COUNTIFS('Coded Segments'!$C$2:$C$913,SLR_Covidence_Data_Extraction__66_files[[#This Row],[Study ID_1]],'Coded Segments'!$D$2:$D$913,SLR_Covidence_Data_Extraction__66_files[[#Headers],[Ethical Concerns (EC) &gt; EC_Environmental sustainability]])</f>
        <v>0</v>
      </c>
      <c r="AR35" s="37">
        <f>+COUNTIFS('Coded Segments'!$C$2:$C$913,SLR_Covidence_Data_Extraction__66_files[[#This Row],[Study ID_1]],'Coded Segments'!$D$2:$D$913,SLR_Covidence_Data_Extraction__66_files[[#Headers],[Ethical Concerns (EC) &gt; EC_Payment]])</f>
        <v>2</v>
      </c>
      <c r="AS35" s="37">
        <f>+COUNTIFS('Coded Segments'!$C$2:$C$912,SLR_Covidence_Data_Extraction__66_files[[#This Row],[Study ID_1]],'Coded Segments'!$D$2:$D$912,SLR_Covidence_Data_Extraction__66_files[[#Headers],[Ethical Concerns (EC) &gt; EC_Quality]])</f>
        <v>2</v>
      </c>
      <c r="AT35" s="37">
        <f>+COUNTIFS('Coded Segments'!$C$2:$C$913,SLR_Covidence_Data_Extraction__66_files[[#This Row],[Study ID_1]],'Coded Segments'!$D$2:$D$913,SLR_Covidence_Data_Extraction__66_files[[#Headers],[Ethical Concerns (EC) &gt; EC_Translators’ role &amp; status]])</f>
        <v>5</v>
      </c>
      <c r="AU35" s="37">
        <f>+COUNTIFS('Coded Segments'!$C$2:$C$913,SLR_Covidence_Data_Extraction__66_files[[#This Row],[Study ID_1]],'Coded Segments'!$D$2:$D$913,SLR_Covidence_Data_Extraction__66_files[[#Headers],[Ethical Concerns (EC) &gt; EC_Other]])</f>
        <v>0</v>
      </c>
      <c r="AV35" s="37">
        <f>+COUNTIFS('Coded Segments'!$C$2:$C$913,SLR_Covidence_Data_Extraction__66_files[[#This Row],[Study ID_1]],'Coded Segments'!$D$2:$D$913,SLR_Covidence_Data_Extraction__66_files[[#Headers],[Literacy (LIT) &gt; LIT_Generic]])</f>
        <v>2</v>
      </c>
      <c r="AW35" s="37">
        <f>+COUNTIFS('Coded Segments'!$C$2:$C$913,SLR_Covidence_Data_Extraction__66_files[[#This Row],[Study ID_1]],'Coded Segments'!$D$2:$D$913,SLR_Covidence_Data_Extraction__66_files[[#Headers],[Literacy (LIT) &gt; LIT_None ]])</f>
        <v>0</v>
      </c>
      <c r="AX35" s="37">
        <f>+COUNTIFS('Coded Segments'!$C$2:$C$913,SLR_Covidence_Data_Extraction__66_files[[#This Row],[Study ID_1]],'Coded Segments'!$D$2:$D$913,SLR_Covidence_Data_Extraction__66_files[[#Headers],[Literacy (LIT) &gt; LIT_Low ]])</f>
        <v>0</v>
      </c>
      <c r="AY35" s="37">
        <f>+COUNTIFS('Coded Segments'!$C$2:$C$913,SLR_Covidence_Data_Extraction__66_files[[#This Row],[Study ID_1]],'Coded Segments'!$D$2:$D$913,SLR_Covidence_Data_Extraction__66_files[[#Headers],[Literacy (LIT) &gt; LIT_High]])</f>
        <v>1</v>
      </c>
    </row>
    <row r="36" spans="1:51" x14ac:dyDescent="0.25">
      <c r="A36" s="37">
        <v>20</v>
      </c>
      <c r="B36" s="37" t="s">
        <v>766</v>
      </c>
      <c r="C36" s="37" t="s">
        <v>564</v>
      </c>
      <c r="D36" s="37" t="s">
        <v>594</v>
      </c>
      <c r="E36" s="37" t="s">
        <v>595</v>
      </c>
      <c r="F36" s="37" t="s">
        <v>596</v>
      </c>
      <c r="G36" s="37" t="s">
        <v>783</v>
      </c>
      <c r="H36" s="39" t="s">
        <v>876</v>
      </c>
      <c r="I36" s="39" t="str">
        <f>LEFT(SLR_Covidence_Data_Extraction__66_files[[#This Row],[Publication date]],4)</f>
        <v>2024</v>
      </c>
      <c r="J36" s="37" t="s">
        <v>769</v>
      </c>
      <c r="K36" s="37" t="s">
        <v>597</v>
      </c>
      <c r="L36" s="37" t="s">
        <v>1478</v>
      </c>
      <c r="P36" s="37" t="s">
        <v>28</v>
      </c>
      <c r="Q36" s="37" t="s">
        <v>28</v>
      </c>
      <c r="R36" s="37">
        <v>31</v>
      </c>
      <c r="S36" s="37" t="s">
        <v>344</v>
      </c>
      <c r="T36" s="37" t="s">
        <v>344</v>
      </c>
      <c r="U36" s="37" t="s">
        <v>598</v>
      </c>
      <c r="V36" s="37" t="s">
        <v>32</v>
      </c>
      <c r="X36" s="37" t="s">
        <v>26</v>
      </c>
      <c r="Y36" s="37" t="s">
        <v>79</v>
      </c>
      <c r="Z36" s="37" t="s">
        <v>136</v>
      </c>
      <c r="AA36" s="37" t="s">
        <v>1464</v>
      </c>
      <c r="AB36" s="38">
        <v>150</v>
      </c>
      <c r="AC36" s="37" t="s">
        <v>864</v>
      </c>
      <c r="AD36" s="37" t="s">
        <v>599</v>
      </c>
      <c r="AE36" s="37" t="s">
        <v>600</v>
      </c>
      <c r="AF36" s="37" t="s">
        <v>601</v>
      </c>
      <c r="AG36" s="37" t="s">
        <v>359</v>
      </c>
      <c r="AH36" s="37">
        <f>+COUNTIFS('Coded Segments'!$C$2:$C$913,SLR_Covidence_Data_Extraction__66_files[[#This Row],[Study ID_1]],'Coded Segments'!$D$2:$D$913,SLR_Covidence_Data_Extraction__66_files[[#Headers],[Adoption (AD) &gt; AD_High]])</f>
        <v>0</v>
      </c>
      <c r="AI36" s="37">
        <f>+COUNTIFS('Coded Segments'!$C$2:$C$913,SLR_Covidence_Data_Extraction__66_files[[#This Row],[Study ID_1]],'Coded Segments'!$D$2:$D$913,SLR_Covidence_Data_Extraction__66_files[[#Headers],[Adoption (AD) &gt; AD_Moderate]])</f>
        <v>0</v>
      </c>
      <c r="AJ36" s="37">
        <f>+COUNTIFS('Coded Segments'!$C$2:$C$913,SLR_Covidence_Data_Extraction__66_files[[#This Row],[Study ID_1]],'Coded Segments'!$D$2:$D$913,SLR_Covidence_Data_Extraction__66_files[[#Headers],[Adoption (AD) &gt; AD_Low]])</f>
        <v>0</v>
      </c>
      <c r="AK36" s="37">
        <f>+COUNTIFS('Coded Segments'!$C$2:$C$913,SLR_Covidence_Data_Extraction__66_files[[#This Row],[Study ID_1]],'Coded Segments'!$D$2:$D$913,SLR_Covidence_Data_Extraction__66_files[[#Headers],[Adoption (AD) &gt; AD_None]])</f>
        <v>2</v>
      </c>
      <c r="AL36" s="37">
        <f>+COUNTIFS('Coded Segments'!$C$2:$C$913,SLR_Covidence_Data_Extraction__66_files[[#This Row],[Study ID_1]],'Coded Segments'!$D$2:$D$913,SLR_Covidence_Data_Extraction__66_files[[#Headers],[Attitude (ATT) &gt; ATT_Negative]])</f>
        <v>5</v>
      </c>
      <c r="AM36" s="37">
        <f>+COUNTIFS('Coded Segments'!$C$2:$C$913,SLR_Covidence_Data_Extraction__66_files[[#This Row],[Study ID_1]],'Coded Segments'!$D$2:$D$913,SLR_Covidence_Data_Extraction__66_files[[#Headers],[Attitude (ATT) &gt; ATT_Positive]])</f>
        <v>0</v>
      </c>
      <c r="AN36" s="37">
        <f>+COUNTIFS('Coded Segments'!$C$2:$C$913,SLR_Covidence_Data_Extraction__66_files[[#This Row],[Study ID_1]],'Coded Segments'!$D$2:$D$913,SLR_Covidence_Data_Extraction__66_files[[#Headers],[Ethical Concerns (EC) &gt; EC_Bias]])</f>
        <v>0</v>
      </c>
      <c r="AO36" s="37">
        <f>+COUNTIFS('Coded Segments'!$C$2:$C$913,SLR_Covidence_Data_Extraction__66_files[[#This Row],[Study ID_1]],'Coded Segments'!$D$2:$D$913,SLR_Covidence_Data_Extraction__66_files[[#Headers],[Ethical Concerns (EC) &gt; EC_Copyright]])</f>
        <v>0</v>
      </c>
      <c r="AP36" s="37">
        <f>+COUNTIFS('Coded Segments'!$C$2:$C$913,SLR_Covidence_Data_Extraction__66_files[[#This Row],[Study ID_1]],'Coded Segments'!$D$2:$D$913,SLR_Covidence_Data_Extraction__66_files[[#Headers],[Ethical Concerns (EC) &gt; EC_Data safety &amp; confidentiality]])</f>
        <v>0</v>
      </c>
      <c r="AQ36" s="37">
        <f>+COUNTIFS('Coded Segments'!$C$2:$C$913,SLR_Covidence_Data_Extraction__66_files[[#This Row],[Study ID_1]],'Coded Segments'!$D$2:$D$913,SLR_Covidence_Data_Extraction__66_files[[#Headers],[Ethical Concerns (EC) &gt; EC_Environmental sustainability]])</f>
        <v>0</v>
      </c>
      <c r="AR36" s="37">
        <f>+COUNTIFS('Coded Segments'!$C$2:$C$913,SLR_Covidence_Data_Extraction__66_files[[#This Row],[Study ID_1]],'Coded Segments'!$D$2:$D$913,SLR_Covidence_Data_Extraction__66_files[[#Headers],[Ethical Concerns (EC) &gt; EC_Payment]])</f>
        <v>0</v>
      </c>
      <c r="AS36" s="37">
        <f>+COUNTIFS('Coded Segments'!$C$2:$C$912,SLR_Covidence_Data_Extraction__66_files[[#This Row],[Study ID_1]],'Coded Segments'!$D$2:$D$912,SLR_Covidence_Data_Extraction__66_files[[#Headers],[Ethical Concerns (EC) &gt; EC_Quality]])</f>
        <v>3</v>
      </c>
      <c r="AT36" s="37">
        <f>+COUNTIFS('Coded Segments'!$C$2:$C$913,SLR_Covidence_Data_Extraction__66_files[[#This Row],[Study ID_1]],'Coded Segments'!$D$2:$D$913,SLR_Covidence_Data_Extraction__66_files[[#Headers],[Ethical Concerns (EC) &gt; EC_Translators’ role &amp; status]])</f>
        <v>2</v>
      </c>
      <c r="AU36" s="37">
        <f>+COUNTIFS('Coded Segments'!$C$2:$C$913,SLR_Covidence_Data_Extraction__66_files[[#This Row],[Study ID_1]],'Coded Segments'!$D$2:$D$913,SLR_Covidence_Data_Extraction__66_files[[#Headers],[Ethical Concerns (EC) &gt; EC_Other]])</f>
        <v>0</v>
      </c>
      <c r="AV36" s="37">
        <f>+COUNTIFS('Coded Segments'!$C$2:$C$913,SLR_Covidence_Data_Extraction__66_files[[#This Row],[Study ID_1]],'Coded Segments'!$D$2:$D$913,SLR_Covidence_Data_Extraction__66_files[[#Headers],[Literacy (LIT) &gt; LIT_Generic]])</f>
        <v>0</v>
      </c>
      <c r="AW36" s="37">
        <f>+COUNTIFS('Coded Segments'!$C$2:$C$913,SLR_Covidence_Data_Extraction__66_files[[#This Row],[Study ID_1]],'Coded Segments'!$D$2:$D$913,SLR_Covidence_Data_Extraction__66_files[[#Headers],[Literacy (LIT) &gt; LIT_None ]])</f>
        <v>0</v>
      </c>
      <c r="AX36" s="37">
        <f>+COUNTIFS('Coded Segments'!$C$2:$C$913,SLR_Covidence_Data_Extraction__66_files[[#This Row],[Study ID_1]],'Coded Segments'!$D$2:$D$913,SLR_Covidence_Data_Extraction__66_files[[#Headers],[Literacy (LIT) &gt; LIT_Low ]])</f>
        <v>0</v>
      </c>
      <c r="AY36" s="37">
        <f>+COUNTIFS('Coded Segments'!$C$2:$C$913,SLR_Covidence_Data_Extraction__66_files[[#This Row],[Study ID_1]],'Coded Segments'!$D$2:$D$913,SLR_Covidence_Data_Extraction__66_files[[#Headers],[Literacy (LIT) &gt; LIT_High]])</f>
        <v>0</v>
      </c>
    </row>
    <row r="37" spans="1:51" x14ac:dyDescent="0.25">
      <c r="A37" s="37">
        <v>15</v>
      </c>
      <c r="B37" s="37" t="s">
        <v>1667</v>
      </c>
      <c r="C37" s="37" t="s">
        <v>626</v>
      </c>
      <c r="D37" s="37" t="s">
        <v>627</v>
      </c>
      <c r="E37" s="37" t="s">
        <v>628</v>
      </c>
      <c r="F37" s="37" t="s">
        <v>629</v>
      </c>
      <c r="G37" s="37" t="s">
        <v>377</v>
      </c>
      <c r="H37" s="39" t="s">
        <v>881</v>
      </c>
      <c r="I37" s="39" t="str">
        <f>LEFT(SLR_Covidence_Data_Extraction__66_files[[#This Row],[Publication date]],4)</f>
        <v>2024</v>
      </c>
      <c r="J37" s="37" t="s">
        <v>377</v>
      </c>
      <c r="K37" s="37" t="s">
        <v>630</v>
      </c>
      <c r="L37" s="37" t="s">
        <v>1478</v>
      </c>
      <c r="N37" s="37" t="s">
        <v>1480</v>
      </c>
      <c r="P37" s="37" t="s">
        <v>28</v>
      </c>
      <c r="Q37" s="37" t="s">
        <v>28</v>
      </c>
      <c r="R37" s="37">
        <v>53</v>
      </c>
      <c r="S37" s="37" t="s">
        <v>631</v>
      </c>
      <c r="T37" s="37" t="s">
        <v>632</v>
      </c>
      <c r="U37" s="37" t="s">
        <v>633</v>
      </c>
      <c r="V37" s="37" t="s">
        <v>32</v>
      </c>
      <c r="X37" s="37" t="s">
        <v>634</v>
      </c>
      <c r="Y37" s="37" t="s">
        <v>635</v>
      </c>
      <c r="Z37" s="37" t="s">
        <v>136</v>
      </c>
      <c r="AA37" s="37" t="s">
        <v>1464</v>
      </c>
      <c r="AB37" s="38">
        <f>72+7</f>
        <v>79</v>
      </c>
      <c r="AC37" s="37" t="s">
        <v>882</v>
      </c>
      <c r="AD37" s="37" t="s">
        <v>636</v>
      </c>
      <c r="AE37" s="37" t="s">
        <v>637</v>
      </c>
      <c r="AF37" s="37" t="s">
        <v>638</v>
      </c>
      <c r="AG37" s="37" t="s">
        <v>180</v>
      </c>
      <c r="AH37" s="37">
        <f>+COUNTIFS('Coded Segments'!$C$2:$C$913,SLR_Covidence_Data_Extraction__66_files[[#This Row],[Study ID_1]],'Coded Segments'!$D$2:$D$913,SLR_Covidence_Data_Extraction__66_files[[#Headers],[Adoption (AD) &gt; AD_High]])</f>
        <v>1</v>
      </c>
      <c r="AI37" s="37">
        <f>+COUNTIFS('Coded Segments'!$C$2:$C$913,SLR_Covidence_Data_Extraction__66_files[[#This Row],[Study ID_1]],'Coded Segments'!$D$2:$D$913,SLR_Covidence_Data_Extraction__66_files[[#Headers],[Adoption (AD) &gt; AD_Moderate]])</f>
        <v>1</v>
      </c>
      <c r="AJ37" s="37">
        <f>+COUNTIFS('Coded Segments'!$C$2:$C$913,SLR_Covidence_Data_Extraction__66_files[[#This Row],[Study ID_1]],'Coded Segments'!$D$2:$D$913,SLR_Covidence_Data_Extraction__66_files[[#Headers],[Adoption (AD) &gt; AD_Low]])</f>
        <v>2</v>
      </c>
      <c r="AK37" s="37">
        <f>+COUNTIFS('Coded Segments'!$C$2:$C$913,SLR_Covidence_Data_Extraction__66_files[[#This Row],[Study ID_1]],'Coded Segments'!$D$2:$D$913,SLR_Covidence_Data_Extraction__66_files[[#Headers],[Adoption (AD) &gt; AD_None]])</f>
        <v>0</v>
      </c>
      <c r="AL37" s="37">
        <f>+COUNTIFS('Coded Segments'!$C$2:$C$913,SLR_Covidence_Data_Extraction__66_files[[#This Row],[Study ID_1]],'Coded Segments'!$D$2:$D$913,SLR_Covidence_Data_Extraction__66_files[[#Headers],[Attitude (ATT) &gt; ATT_Negative]])</f>
        <v>1</v>
      </c>
      <c r="AM37" s="37">
        <f>+COUNTIFS('Coded Segments'!$C$2:$C$913,SLR_Covidence_Data_Extraction__66_files[[#This Row],[Study ID_1]],'Coded Segments'!$D$2:$D$913,SLR_Covidence_Data_Extraction__66_files[[#Headers],[Attitude (ATT) &gt; ATT_Positive]])</f>
        <v>0</v>
      </c>
      <c r="AN37" s="37">
        <f>+COUNTIFS('Coded Segments'!$C$2:$C$913,SLR_Covidence_Data_Extraction__66_files[[#This Row],[Study ID_1]],'Coded Segments'!$D$2:$D$913,SLR_Covidence_Data_Extraction__66_files[[#Headers],[Ethical Concerns (EC) &gt; EC_Bias]])</f>
        <v>0</v>
      </c>
      <c r="AO37" s="37">
        <f>+COUNTIFS('Coded Segments'!$C$2:$C$913,SLR_Covidence_Data_Extraction__66_files[[#This Row],[Study ID_1]],'Coded Segments'!$D$2:$D$913,SLR_Covidence_Data_Extraction__66_files[[#Headers],[Ethical Concerns (EC) &gt; EC_Copyright]])</f>
        <v>0</v>
      </c>
      <c r="AP37" s="37">
        <f>+COUNTIFS('Coded Segments'!$C$2:$C$913,SLR_Covidence_Data_Extraction__66_files[[#This Row],[Study ID_1]],'Coded Segments'!$D$2:$D$913,SLR_Covidence_Data_Extraction__66_files[[#Headers],[Ethical Concerns (EC) &gt; EC_Data safety &amp; confidentiality]])</f>
        <v>1</v>
      </c>
      <c r="AQ37" s="37">
        <f>+COUNTIFS('Coded Segments'!$C$2:$C$913,SLR_Covidence_Data_Extraction__66_files[[#This Row],[Study ID_1]],'Coded Segments'!$D$2:$D$913,SLR_Covidence_Data_Extraction__66_files[[#Headers],[Ethical Concerns (EC) &gt; EC_Environmental sustainability]])</f>
        <v>0</v>
      </c>
      <c r="AR37" s="37">
        <f>+COUNTIFS('Coded Segments'!$C$2:$C$913,SLR_Covidence_Data_Extraction__66_files[[#This Row],[Study ID_1]],'Coded Segments'!$D$2:$D$913,SLR_Covidence_Data_Extraction__66_files[[#Headers],[Ethical Concerns (EC) &gt; EC_Payment]])</f>
        <v>0</v>
      </c>
      <c r="AS37" s="37">
        <f>+COUNTIFS('Coded Segments'!$C$2:$C$912,SLR_Covidence_Data_Extraction__66_files[[#This Row],[Study ID_1]],'Coded Segments'!$D$2:$D$912,SLR_Covidence_Data_Extraction__66_files[[#Headers],[Ethical Concerns (EC) &gt; EC_Quality]])</f>
        <v>1</v>
      </c>
      <c r="AT37" s="37">
        <f>+COUNTIFS('Coded Segments'!$C$2:$C$913,SLR_Covidence_Data_Extraction__66_files[[#This Row],[Study ID_1]],'Coded Segments'!$D$2:$D$913,SLR_Covidence_Data_Extraction__66_files[[#Headers],[Ethical Concerns (EC) &gt; EC_Translators’ role &amp; status]])</f>
        <v>1</v>
      </c>
      <c r="AU37" s="37">
        <f>+COUNTIFS('Coded Segments'!$C$2:$C$913,SLR_Covidence_Data_Extraction__66_files[[#This Row],[Study ID_1]],'Coded Segments'!$D$2:$D$913,SLR_Covidence_Data_Extraction__66_files[[#Headers],[Ethical Concerns (EC) &gt; EC_Other]])</f>
        <v>0</v>
      </c>
      <c r="AV37" s="37">
        <f>+COUNTIFS('Coded Segments'!$C$2:$C$913,SLR_Covidence_Data_Extraction__66_files[[#This Row],[Study ID_1]],'Coded Segments'!$D$2:$D$913,SLR_Covidence_Data_Extraction__66_files[[#Headers],[Literacy (LIT) &gt; LIT_Generic]])</f>
        <v>0</v>
      </c>
      <c r="AW37" s="37">
        <f>+COUNTIFS('Coded Segments'!$C$2:$C$913,SLR_Covidence_Data_Extraction__66_files[[#This Row],[Study ID_1]],'Coded Segments'!$D$2:$D$913,SLR_Covidence_Data_Extraction__66_files[[#Headers],[Literacy (LIT) &gt; LIT_None ]])</f>
        <v>0</v>
      </c>
      <c r="AX37" s="37">
        <f>+COUNTIFS('Coded Segments'!$C$2:$C$913,SLR_Covidence_Data_Extraction__66_files[[#This Row],[Study ID_1]],'Coded Segments'!$D$2:$D$913,SLR_Covidence_Data_Extraction__66_files[[#Headers],[Literacy (LIT) &gt; LIT_Low ]])</f>
        <v>0</v>
      </c>
      <c r="AY37" s="37">
        <f>+COUNTIFS('Coded Segments'!$C$2:$C$913,SLR_Covidence_Data_Extraction__66_files[[#This Row],[Study ID_1]],'Coded Segments'!$D$2:$D$913,SLR_Covidence_Data_Extraction__66_files[[#Headers],[Literacy (LIT) &gt; LIT_High]])</f>
        <v>1</v>
      </c>
    </row>
    <row r="38" spans="1:51" x14ac:dyDescent="0.25">
      <c r="A38" s="37">
        <v>65</v>
      </c>
      <c r="B38" s="37" t="s">
        <v>234</v>
      </c>
      <c r="C38" s="37" t="s">
        <v>233</v>
      </c>
      <c r="D38" s="37" t="s">
        <v>235</v>
      </c>
      <c r="E38" s="37" t="s">
        <v>236</v>
      </c>
      <c r="F38" s="37" t="s">
        <v>237</v>
      </c>
      <c r="G38" s="37" t="s">
        <v>227</v>
      </c>
      <c r="H38" s="39" t="s">
        <v>186</v>
      </c>
      <c r="I38" s="39" t="str">
        <f>LEFT(SLR_Covidence_Data_Extraction__66_files[[#This Row],[Publication date]],4)</f>
        <v>2024</v>
      </c>
      <c r="J38" s="37" t="s">
        <v>227</v>
      </c>
      <c r="K38" s="37" t="s">
        <v>238</v>
      </c>
      <c r="L38" s="37" t="s">
        <v>1478</v>
      </c>
      <c r="P38" s="37" t="s">
        <v>26</v>
      </c>
      <c r="Q38" s="37" t="s">
        <v>26</v>
      </c>
      <c r="S38" s="37" t="s">
        <v>26</v>
      </c>
      <c r="T38" s="37" t="s">
        <v>26</v>
      </c>
      <c r="U38" s="37" t="s">
        <v>239</v>
      </c>
      <c r="V38" s="37" t="s">
        <v>32</v>
      </c>
      <c r="X38" s="37" t="s">
        <v>240</v>
      </c>
      <c r="Y38" s="37" t="s">
        <v>241</v>
      </c>
      <c r="Z38" s="37" t="s">
        <v>1560</v>
      </c>
      <c r="AA38" s="37" t="s">
        <v>1463</v>
      </c>
      <c r="AB38" s="38">
        <v>110</v>
      </c>
      <c r="AC38" s="37" t="s">
        <v>833</v>
      </c>
      <c r="AD38" s="37" t="s">
        <v>1672</v>
      </c>
      <c r="AE38" s="37" t="s">
        <v>1677</v>
      </c>
      <c r="AF38" s="37" t="s">
        <v>242</v>
      </c>
      <c r="AG38" s="37" t="s">
        <v>243</v>
      </c>
      <c r="AH38" s="37">
        <f>+COUNTIFS('Coded Segments'!$C$2:$C$913,SLR_Covidence_Data_Extraction__66_files[[#This Row],[Study ID_1]],'Coded Segments'!$D$2:$D$913,SLR_Covidence_Data_Extraction__66_files[[#Headers],[Adoption (AD) &gt; AD_High]])</f>
        <v>1</v>
      </c>
      <c r="AI38" s="37">
        <f>+COUNTIFS('Coded Segments'!$C$2:$C$913,SLR_Covidence_Data_Extraction__66_files[[#This Row],[Study ID_1]],'Coded Segments'!$D$2:$D$913,SLR_Covidence_Data_Extraction__66_files[[#Headers],[Adoption (AD) &gt; AD_Moderate]])</f>
        <v>0</v>
      </c>
      <c r="AJ38" s="37">
        <f>+COUNTIFS('Coded Segments'!$C$2:$C$913,SLR_Covidence_Data_Extraction__66_files[[#This Row],[Study ID_1]],'Coded Segments'!$D$2:$D$913,SLR_Covidence_Data_Extraction__66_files[[#Headers],[Adoption (AD) &gt; AD_Low]])</f>
        <v>0</v>
      </c>
      <c r="AK38" s="37">
        <f>+COUNTIFS('Coded Segments'!$C$2:$C$913,SLR_Covidence_Data_Extraction__66_files[[#This Row],[Study ID_1]],'Coded Segments'!$D$2:$D$913,SLR_Covidence_Data_Extraction__66_files[[#Headers],[Adoption (AD) &gt; AD_None]])</f>
        <v>0</v>
      </c>
      <c r="AL38" s="37">
        <f>+COUNTIFS('Coded Segments'!$C$2:$C$913,SLR_Covidence_Data_Extraction__66_files[[#This Row],[Study ID_1]],'Coded Segments'!$D$2:$D$913,SLR_Covidence_Data_Extraction__66_files[[#Headers],[Attitude (ATT) &gt; ATT_Negative]])</f>
        <v>0</v>
      </c>
      <c r="AM38" s="37">
        <f>+COUNTIFS('Coded Segments'!$C$2:$C$913,SLR_Covidence_Data_Extraction__66_files[[#This Row],[Study ID_1]],'Coded Segments'!$D$2:$D$913,SLR_Covidence_Data_Extraction__66_files[[#Headers],[Attitude (ATT) &gt; ATT_Positive]])</f>
        <v>6</v>
      </c>
      <c r="AN38" s="37">
        <f>+COUNTIFS('Coded Segments'!$C$2:$C$913,SLR_Covidence_Data_Extraction__66_files[[#This Row],[Study ID_1]],'Coded Segments'!$D$2:$D$913,SLR_Covidence_Data_Extraction__66_files[[#Headers],[Ethical Concerns (EC) &gt; EC_Bias]])</f>
        <v>2</v>
      </c>
      <c r="AO38" s="37">
        <f>+COUNTIFS('Coded Segments'!$C$2:$C$913,SLR_Covidence_Data_Extraction__66_files[[#This Row],[Study ID_1]],'Coded Segments'!$D$2:$D$913,SLR_Covidence_Data_Extraction__66_files[[#Headers],[Ethical Concerns (EC) &gt; EC_Copyright]])</f>
        <v>0</v>
      </c>
      <c r="AP38" s="37">
        <f>+COUNTIFS('Coded Segments'!$C$2:$C$913,SLR_Covidence_Data_Extraction__66_files[[#This Row],[Study ID_1]],'Coded Segments'!$D$2:$D$913,SLR_Covidence_Data_Extraction__66_files[[#Headers],[Ethical Concerns (EC) &gt; EC_Data safety &amp; confidentiality]])</f>
        <v>2</v>
      </c>
      <c r="AQ38" s="37">
        <f>+COUNTIFS('Coded Segments'!$C$2:$C$913,SLR_Covidence_Data_Extraction__66_files[[#This Row],[Study ID_1]],'Coded Segments'!$D$2:$D$913,SLR_Covidence_Data_Extraction__66_files[[#Headers],[Ethical Concerns (EC) &gt; EC_Environmental sustainability]])</f>
        <v>0</v>
      </c>
      <c r="AR38" s="37">
        <f>+COUNTIFS('Coded Segments'!$C$2:$C$913,SLR_Covidence_Data_Extraction__66_files[[#This Row],[Study ID_1]],'Coded Segments'!$D$2:$D$913,SLR_Covidence_Data_Extraction__66_files[[#Headers],[Ethical Concerns (EC) &gt; EC_Payment]])</f>
        <v>0</v>
      </c>
      <c r="AS38" s="37">
        <f>+COUNTIFS('Coded Segments'!$C$2:$C$912,SLR_Covidence_Data_Extraction__66_files[[#This Row],[Study ID_1]],'Coded Segments'!$D$2:$D$912,SLR_Covidence_Data_Extraction__66_files[[#Headers],[Ethical Concerns (EC) &gt; EC_Quality]])</f>
        <v>1</v>
      </c>
      <c r="AT38" s="37">
        <f>+COUNTIFS('Coded Segments'!$C$2:$C$913,SLR_Covidence_Data_Extraction__66_files[[#This Row],[Study ID_1]],'Coded Segments'!$D$2:$D$913,SLR_Covidence_Data_Extraction__66_files[[#Headers],[Ethical Concerns (EC) &gt; EC_Translators’ role &amp; status]])</f>
        <v>2</v>
      </c>
      <c r="AU38" s="37">
        <f>+COUNTIFS('Coded Segments'!$C$2:$C$913,SLR_Covidence_Data_Extraction__66_files[[#This Row],[Study ID_1]],'Coded Segments'!$D$2:$D$913,SLR_Covidence_Data_Extraction__66_files[[#Headers],[Ethical Concerns (EC) &gt; EC_Other]])</f>
        <v>0</v>
      </c>
      <c r="AV38" s="37">
        <f>+COUNTIFS('Coded Segments'!$C$2:$C$913,SLR_Covidence_Data_Extraction__66_files[[#This Row],[Study ID_1]],'Coded Segments'!$D$2:$D$913,SLR_Covidence_Data_Extraction__66_files[[#Headers],[Literacy (LIT) &gt; LIT_Generic]])</f>
        <v>2</v>
      </c>
      <c r="AW38" s="37">
        <f>+COUNTIFS('Coded Segments'!$C$2:$C$913,SLR_Covidence_Data_Extraction__66_files[[#This Row],[Study ID_1]],'Coded Segments'!$D$2:$D$913,SLR_Covidence_Data_Extraction__66_files[[#Headers],[Literacy (LIT) &gt; LIT_None ]])</f>
        <v>0</v>
      </c>
      <c r="AX38" s="37">
        <f>+COUNTIFS('Coded Segments'!$C$2:$C$913,SLR_Covidence_Data_Extraction__66_files[[#This Row],[Study ID_1]],'Coded Segments'!$D$2:$D$913,SLR_Covidence_Data_Extraction__66_files[[#Headers],[Literacy (LIT) &gt; LIT_Low ]])</f>
        <v>0</v>
      </c>
      <c r="AY38" s="37">
        <f>+COUNTIFS('Coded Segments'!$C$2:$C$913,SLR_Covidence_Data_Extraction__66_files[[#This Row],[Study ID_1]],'Coded Segments'!$D$2:$D$913,SLR_Covidence_Data_Extraction__66_files[[#Headers],[Literacy (LIT) &gt; LIT_High]])</f>
        <v>1</v>
      </c>
    </row>
    <row r="39" spans="1:51" x14ac:dyDescent="0.25">
      <c r="A39" s="37">
        <v>3</v>
      </c>
      <c r="B39" s="37" t="s">
        <v>744</v>
      </c>
      <c r="C39" s="37" t="s">
        <v>742</v>
      </c>
      <c r="D39" s="37" t="s">
        <v>743</v>
      </c>
      <c r="E39" s="37" t="s">
        <v>745</v>
      </c>
      <c r="F39" s="37" t="s">
        <v>746</v>
      </c>
      <c r="G39" s="37" t="s">
        <v>1477</v>
      </c>
      <c r="H39" s="39" t="s">
        <v>839</v>
      </c>
      <c r="I39" s="39" t="str">
        <f>LEFT(SLR_Covidence_Data_Extraction__66_files[[#This Row],[Publication date]],4)</f>
        <v>2024</v>
      </c>
      <c r="J39" s="37" t="s">
        <v>146</v>
      </c>
      <c r="K39" s="37" t="s">
        <v>747</v>
      </c>
      <c r="L39" s="37" t="s">
        <v>1478</v>
      </c>
      <c r="P39" s="37" t="s">
        <v>173</v>
      </c>
      <c r="Q39" s="37" t="s">
        <v>48</v>
      </c>
      <c r="R39" s="37">
        <v>28</v>
      </c>
      <c r="S39" s="37" t="s">
        <v>391</v>
      </c>
      <c r="T39" s="37" t="s">
        <v>748</v>
      </c>
      <c r="U39" s="37" t="s">
        <v>77</v>
      </c>
      <c r="V39" s="37" t="s">
        <v>32</v>
      </c>
      <c r="X39" s="37" t="s">
        <v>26</v>
      </c>
      <c r="Y39" s="37" t="s">
        <v>749</v>
      </c>
      <c r="Z39" s="37" t="s">
        <v>136</v>
      </c>
      <c r="AA39" s="37" t="s">
        <v>1463</v>
      </c>
      <c r="AB39" s="38">
        <v>41</v>
      </c>
      <c r="AC39" s="37" t="s">
        <v>907</v>
      </c>
      <c r="AD39" s="37" t="s">
        <v>750</v>
      </c>
      <c r="AE39" s="37" t="s">
        <v>751</v>
      </c>
      <c r="AF39" s="37" t="s">
        <v>752</v>
      </c>
      <c r="AG39" s="37" t="s">
        <v>125</v>
      </c>
      <c r="AH39" s="37">
        <f>+COUNTIFS('Coded Segments'!$C$2:$C$913,SLR_Covidence_Data_Extraction__66_files[[#This Row],[Study ID_1]],'Coded Segments'!$D$2:$D$913,SLR_Covidence_Data_Extraction__66_files[[#Headers],[Adoption (AD) &gt; AD_High]])</f>
        <v>0</v>
      </c>
      <c r="AI39" s="37">
        <f>+COUNTIFS('Coded Segments'!$C$2:$C$913,SLR_Covidence_Data_Extraction__66_files[[#This Row],[Study ID_1]],'Coded Segments'!$D$2:$D$913,SLR_Covidence_Data_Extraction__66_files[[#Headers],[Adoption (AD) &gt; AD_Moderate]])</f>
        <v>2</v>
      </c>
      <c r="AJ39" s="37">
        <f>+COUNTIFS('Coded Segments'!$C$2:$C$913,SLR_Covidence_Data_Extraction__66_files[[#This Row],[Study ID_1]],'Coded Segments'!$D$2:$D$913,SLR_Covidence_Data_Extraction__66_files[[#Headers],[Adoption (AD) &gt; AD_Low]])</f>
        <v>0</v>
      </c>
      <c r="AK39" s="37">
        <f>+COUNTIFS('Coded Segments'!$C$2:$C$913,SLR_Covidence_Data_Extraction__66_files[[#This Row],[Study ID_1]],'Coded Segments'!$D$2:$D$913,SLR_Covidence_Data_Extraction__66_files[[#Headers],[Adoption (AD) &gt; AD_None]])</f>
        <v>0</v>
      </c>
      <c r="AL39" s="37">
        <f>+COUNTIFS('Coded Segments'!$C$2:$C$913,SLR_Covidence_Data_Extraction__66_files[[#This Row],[Study ID_1]],'Coded Segments'!$D$2:$D$913,SLR_Covidence_Data_Extraction__66_files[[#Headers],[Attitude (ATT) &gt; ATT_Negative]])</f>
        <v>0</v>
      </c>
      <c r="AM39" s="37">
        <f>+COUNTIFS('Coded Segments'!$C$2:$C$913,SLR_Covidence_Data_Extraction__66_files[[#This Row],[Study ID_1]],'Coded Segments'!$D$2:$D$913,SLR_Covidence_Data_Extraction__66_files[[#Headers],[Attitude (ATT) &gt; ATT_Positive]])</f>
        <v>3</v>
      </c>
      <c r="AN39" s="37">
        <f>+COUNTIFS('Coded Segments'!$C$2:$C$913,SLR_Covidence_Data_Extraction__66_files[[#This Row],[Study ID_1]],'Coded Segments'!$D$2:$D$913,SLR_Covidence_Data_Extraction__66_files[[#Headers],[Ethical Concerns (EC) &gt; EC_Bias]])</f>
        <v>0</v>
      </c>
      <c r="AO39" s="37">
        <f>+COUNTIFS('Coded Segments'!$C$2:$C$913,SLR_Covidence_Data_Extraction__66_files[[#This Row],[Study ID_1]],'Coded Segments'!$D$2:$D$913,SLR_Covidence_Data_Extraction__66_files[[#Headers],[Ethical Concerns (EC) &gt; EC_Copyright]])</f>
        <v>0</v>
      </c>
      <c r="AP39" s="37">
        <f>+COUNTIFS('Coded Segments'!$C$2:$C$913,SLR_Covidence_Data_Extraction__66_files[[#This Row],[Study ID_1]],'Coded Segments'!$D$2:$D$913,SLR_Covidence_Data_Extraction__66_files[[#Headers],[Ethical Concerns (EC) &gt; EC_Data safety &amp; confidentiality]])</f>
        <v>0</v>
      </c>
      <c r="AQ39" s="37">
        <f>+COUNTIFS('Coded Segments'!$C$2:$C$913,SLR_Covidence_Data_Extraction__66_files[[#This Row],[Study ID_1]],'Coded Segments'!$D$2:$D$913,SLR_Covidence_Data_Extraction__66_files[[#Headers],[Ethical Concerns (EC) &gt; EC_Environmental sustainability]])</f>
        <v>0</v>
      </c>
      <c r="AR39" s="37">
        <f>+COUNTIFS('Coded Segments'!$C$2:$C$913,SLR_Covidence_Data_Extraction__66_files[[#This Row],[Study ID_1]],'Coded Segments'!$D$2:$D$913,SLR_Covidence_Data_Extraction__66_files[[#Headers],[Ethical Concerns (EC) &gt; EC_Payment]])</f>
        <v>0</v>
      </c>
      <c r="AS39" s="37">
        <f>+COUNTIFS('Coded Segments'!$C$2:$C$912,SLR_Covidence_Data_Extraction__66_files[[#This Row],[Study ID_1]],'Coded Segments'!$D$2:$D$912,SLR_Covidence_Data_Extraction__66_files[[#Headers],[Ethical Concerns (EC) &gt; EC_Quality]])</f>
        <v>0</v>
      </c>
      <c r="AT39" s="37">
        <f>+COUNTIFS('Coded Segments'!$C$2:$C$913,SLR_Covidence_Data_Extraction__66_files[[#This Row],[Study ID_1]],'Coded Segments'!$D$2:$D$913,SLR_Covidence_Data_Extraction__66_files[[#Headers],[Ethical Concerns (EC) &gt; EC_Translators’ role &amp; status]])</f>
        <v>1</v>
      </c>
      <c r="AU39" s="37">
        <f>+COUNTIFS('Coded Segments'!$C$2:$C$913,SLR_Covidence_Data_Extraction__66_files[[#This Row],[Study ID_1]],'Coded Segments'!$D$2:$D$913,SLR_Covidence_Data_Extraction__66_files[[#Headers],[Ethical Concerns (EC) &gt; EC_Other]])</f>
        <v>0</v>
      </c>
      <c r="AV39" s="37">
        <f>+COUNTIFS('Coded Segments'!$C$2:$C$913,SLR_Covidence_Data_Extraction__66_files[[#This Row],[Study ID_1]],'Coded Segments'!$D$2:$D$913,SLR_Covidence_Data_Extraction__66_files[[#Headers],[Literacy (LIT) &gt; LIT_Generic]])</f>
        <v>0</v>
      </c>
      <c r="AW39" s="37">
        <f>+COUNTIFS('Coded Segments'!$C$2:$C$913,SLR_Covidence_Data_Extraction__66_files[[#This Row],[Study ID_1]],'Coded Segments'!$D$2:$D$913,SLR_Covidence_Data_Extraction__66_files[[#Headers],[Literacy (LIT) &gt; LIT_None ]])</f>
        <v>0</v>
      </c>
      <c r="AX39" s="37">
        <f>+COUNTIFS('Coded Segments'!$C$2:$C$913,SLR_Covidence_Data_Extraction__66_files[[#This Row],[Study ID_1]],'Coded Segments'!$D$2:$D$913,SLR_Covidence_Data_Extraction__66_files[[#Headers],[Literacy (LIT) &gt; LIT_Low ]])</f>
        <v>0</v>
      </c>
      <c r="AY39" s="37">
        <f>+COUNTIFS('Coded Segments'!$C$2:$C$913,SLR_Covidence_Data_Extraction__66_files[[#This Row],[Study ID_1]],'Coded Segments'!$D$2:$D$913,SLR_Covidence_Data_Extraction__66_files[[#Headers],[Literacy (LIT) &gt; LIT_High]])</f>
        <v>2</v>
      </c>
    </row>
    <row r="40" spans="1:51" x14ac:dyDescent="0.25">
      <c r="A40" s="37">
        <v>83</v>
      </c>
      <c r="B40" s="37" t="s">
        <v>41</v>
      </c>
      <c r="C40" s="37" t="s">
        <v>39</v>
      </c>
      <c r="D40" s="37" t="s">
        <v>40</v>
      </c>
      <c r="E40" s="37" t="s">
        <v>42</v>
      </c>
      <c r="F40" s="37" t="s">
        <v>43</v>
      </c>
      <c r="G40" s="37" t="s">
        <v>44</v>
      </c>
      <c r="H40" s="39" t="s">
        <v>807</v>
      </c>
      <c r="I40" s="39" t="str">
        <f>LEFT(SLR_Covidence_Data_Extraction__66_files[[#This Row],[Publication date]],4)</f>
        <v>2024</v>
      </c>
      <c r="J40" s="37" t="s">
        <v>44</v>
      </c>
      <c r="K40" s="37" t="s">
        <v>45</v>
      </c>
      <c r="L40" s="37" t="s">
        <v>1478</v>
      </c>
      <c r="P40" s="37" t="s">
        <v>46</v>
      </c>
      <c r="Q40" s="37" t="s">
        <v>47</v>
      </c>
      <c r="R40" s="37">
        <v>10</v>
      </c>
      <c r="S40" s="37" t="s">
        <v>49</v>
      </c>
      <c r="T40" s="37" t="s">
        <v>50</v>
      </c>
      <c r="U40" s="37" t="s">
        <v>51</v>
      </c>
      <c r="V40" s="37" t="s">
        <v>32</v>
      </c>
      <c r="X40" s="37" t="s">
        <v>26</v>
      </c>
      <c r="Y40" s="37" t="s">
        <v>1469</v>
      </c>
      <c r="Z40" s="37" t="s">
        <v>136</v>
      </c>
      <c r="AA40" s="37" t="s">
        <v>1463</v>
      </c>
      <c r="AB40" s="38">
        <v>40</v>
      </c>
      <c r="AC40" s="37" t="s">
        <v>808</v>
      </c>
      <c r="AD40" s="37" t="s">
        <v>52</v>
      </c>
      <c r="AE40" s="37" t="s">
        <v>53</v>
      </c>
      <c r="AF40" s="37" t="s">
        <v>54</v>
      </c>
      <c r="AG40" s="37" t="s">
        <v>38</v>
      </c>
      <c r="AH40" s="37">
        <f>+COUNTIFS('Coded Segments'!$C$2:$C$913,SLR_Covidence_Data_Extraction__66_files[[#This Row],[Study ID_1]],'Coded Segments'!$D$2:$D$913,SLR_Covidence_Data_Extraction__66_files[[#Headers],[Adoption (AD) &gt; AD_High]])</f>
        <v>0</v>
      </c>
      <c r="AI40" s="37">
        <f>+COUNTIFS('Coded Segments'!$C$2:$C$913,SLR_Covidence_Data_Extraction__66_files[[#This Row],[Study ID_1]],'Coded Segments'!$D$2:$D$913,SLR_Covidence_Data_Extraction__66_files[[#Headers],[Adoption (AD) &gt; AD_Moderate]])</f>
        <v>1</v>
      </c>
      <c r="AJ40" s="37">
        <f>+COUNTIFS('Coded Segments'!$C$2:$C$913,SLR_Covidence_Data_Extraction__66_files[[#This Row],[Study ID_1]],'Coded Segments'!$D$2:$D$913,SLR_Covidence_Data_Extraction__66_files[[#Headers],[Adoption (AD) &gt; AD_Low]])</f>
        <v>0</v>
      </c>
      <c r="AK40" s="37">
        <f>+COUNTIFS('Coded Segments'!$C$2:$C$913,SLR_Covidence_Data_Extraction__66_files[[#This Row],[Study ID_1]],'Coded Segments'!$D$2:$D$913,SLR_Covidence_Data_Extraction__66_files[[#Headers],[Adoption (AD) &gt; AD_None]])</f>
        <v>0</v>
      </c>
      <c r="AL40" s="37">
        <f>+COUNTIFS('Coded Segments'!$C$2:$C$913,SLR_Covidence_Data_Extraction__66_files[[#This Row],[Study ID_1]],'Coded Segments'!$D$2:$D$913,SLR_Covidence_Data_Extraction__66_files[[#Headers],[Attitude (ATT) &gt; ATT_Negative]])</f>
        <v>1</v>
      </c>
      <c r="AM40" s="37">
        <f>+COUNTIFS('Coded Segments'!$C$2:$C$913,SLR_Covidence_Data_Extraction__66_files[[#This Row],[Study ID_1]],'Coded Segments'!$D$2:$D$913,SLR_Covidence_Data_Extraction__66_files[[#Headers],[Attitude (ATT) &gt; ATT_Positive]])</f>
        <v>0</v>
      </c>
      <c r="AN40" s="37">
        <f>+COUNTIFS('Coded Segments'!$C$2:$C$913,SLR_Covidence_Data_Extraction__66_files[[#This Row],[Study ID_1]],'Coded Segments'!$D$2:$D$913,SLR_Covidence_Data_Extraction__66_files[[#Headers],[Ethical Concerns (EC) &gt; EC_Bias]])</f>
        <v>0</v>
      </c>
      <c r="AO40" s="37">
        <f>+COUNTIFS('Coded Segments'!$C$2:$C$913,SLR_Covidence_Data_Extraction__66_files[[#This Row],[Study ID_1]],'Coded Segments'!$D$2:$D$913,SLR_Covidence_Data_Extraction__66_files[[#Headers],[Ethical Concerns (EC) &gt; EC_Copyright]])</f>
        <v>0</v>
      </c>
      <c r="AP40" s="37">
        <f>+COUNTIFS('Coded Segments'!$C$2:$C$913,SLR_Covidence_Data_Extraction__66_files[[#This Row],[Study ID_1]],'Coded Segments'!$D$2:$D$913,SLR_Covidence_Data_Extraction__66_files[[#Headers],[Ethical Concerns (EC) &gt; EC_Data safety &amp; confidentiality]])</f>
        <v>2</v>
      </c>
      <c r="AQ40" s="37">
        <f>+COUNTIFS('Coded Segments'!$C$2:$C$913,SLR_Covidence_Data_Extraction__66_files[[#This Row],[Study ID_1]],'Coded Segments'!$D$2:$D$913,SLR_Covidence_Data_Extraction__66_files[[#Headers],[Ethical Concerns (EC) &gt; EC_Environmental sustainability]])</f>
        <v>1</v>
      </c>
      <c r="AR40" s="37">
        <f>+COUNTIFS('Coded Segments'!$C$2:$C$913,SLR_Covidence_Data_Extraction__66_files[[#This Row],[Study ID_1]],'Coded Segments'!$D$2:$D$913,SLR_Covidence_Data_Extraction__66_files[[#Headers],[Ethical Concerns (EC) &gt; EC_Payment]])</f>
        <v>0</v>
      </c>
      <c r="AS40" s="37">
        <f>+COUNTIFS('Coded Segments'!$C$2:$C$912,SLR_Covidence_Data_Extraction__66_files[[#This Row],[Study ID_1]],'Coded Segments'!$D$2:$D$912,SLR_Covidence_Data_Extraction__66_files[[#Headers],[Ethical Concerns (EC) &gt; EC_Quality]])</f>
        <v>2</v>
      </c>
      <c r="AT40" s="37">
        <f>+COUNTIFS('Coded Segments'!$C$2:$C$913,SLR_Covidence_Data_Extraction__66_files[[#This Row],[Study ID_1]],'Coded Segments'!$D$2:$D$913,SLR_Covidence_Data_Extraction__66_files[[#Headers],[Ethical Concerns (EC) &gt; EC_Translators’ role &amp; status]])</f>
        <v>4</v>
      </c>
      <c r="AU40" s="37">
        <f>+COUNTIFS('Coded Segments'!$C$2:$C$913,SLR_Covidence_Data_Extraction__66_files[[#This Row],[Study ID_1]],'Coded Segments'!$D$2:$D$913,SLR_Covidence_Data_Extraction__66_files[[#Headers],[Ethical Concerns (EC) &gt; EC_Other]])</f>
        <v>1</v>
      </c>
      <c r="AV40" s="37">
        <f>+COUNTIFS('Coded Segments'!$C$2:$C$913,SLR_Covidence_Data_Extraction__66_files[[#This Row],[Study ID_1]],'Coded Segments'!$D$2:$D$913,SLR_Covidence_Data_Extraction__66_files[[#Headers],[Literacy (LIT) &gt; LIT_Generic]])</f>
        <v>0</v>
      </c>
      <c r="AW40" s="37">
        <f>+COUNTIFS('Coded Segments'!$C$2:$C$913,SLR_Covidence_Data_Extraction__66_files[[#This Row],[Study ID_1]],'Coded Segments'!$D$2:$D$913,SLR_Covidence_Data_Extraction__66_files[[#Headers],[Literacy (LIT) &gt; LIT_None ]])</f>
        <v>0</v>
      </c>
      <c r="AX40" s="37">
        <f>+COUNTIFS('Coded Segments'!$C$2:$C$913,SLR_Covidence_Data_Extraction__66_files[[#This Row],[Study ID_1]],'Coded Segments'!$D$2:$D$913,SLR_Covidence_Data_Extraction__66_files[[#Headers],[Literacy (LIT) &gt; LIT_Low ]])</f>
        <v>2</v>
      </c>
      <c r="AY40" s="37">
        <f>+COUNTIFS('Coded Segments'!$C$2:$C$913,SLR_Covidence_Data_Extraction__66_files[[#This Row],[Study ID_1]],'Coded Segments'!$D$2:$D$913,SLR_Covidence_Data_Extraction__66_files[[#Headers],[Literacy (LIT) &gt; LIT_High]])</f>
        <v>0</v>
      </c>
    </row>
    <row r="41" spans="1:51" x14ac:dyDescent="0.25">
      <c r="A41" s="37">
        <v>59</v>
      </c>
      <c r="B41" s="37" t="s">
        <v>281</v>
      </c>
      <c r="C41" s="37" t="s">
        <v>280</v>
      </c>
      <c r="D41" s="37" t="s">
        <v>282</v>
      </c>
      <c r="E41" s="37" t="s">
        <v>283</v>
      </c>
      <c r="F41" s="37" t="s">
        <v>284</v>
      </c>
      <c r="G41" s="37" t="s">
        <v>1437</v>
      </c>
      <c r="H41" s="39" t="s">
        <v>839</v>
      </c>
      <c r="I41" s="39" t="str">
        <f>LEFT(SLR_Covidence_Data_Extraction__66_files[[#This Row],[Publication date]],4)</f>
        <v>2024</v>
      </c>
      <c r="J41" s="37" t="s">
        <v>775</v>
      </c>
      <c r="K41" s="37" t="s">
        <v>285</v>
      </c>
      <c r="L41" s="37" t="s">
        <v>1478</v>
      </c>
      <c r="P41" s="37" t="s">
        <v>151</v>
      </c>
      <c r="Q41" s="37" t="s">
        <v>286</v>
      </c>
      <c r="R41" s="37">
        <v>30</v>
      </c>
      <c r="S41" s="37" t="s">
        <v>159</v>
      </c>
      <c r="T41" s="37" t="s">
        <v>160</v>
      </c>
      <c r="U41" s="37" t="s">
        <v>287</v>
      </c>
      <c r="V41" s="37" t="s">
        <v>32</v>
      </c>
      <c r="X41" s="37" t="s">
        <v>26</v>
      </c>
      <c r="Y41" s="37" t="s">
        <v>288</v>
      </c>
      <c r="Z41" s="37" t="s">
        <v>136</v>
      </c>
      <c r="AA41" s="37" t="s">
        <v>1463</v>
      </c>
      <c r="AB41" s="38">
        <v>85</v>
      </c>
      <c r="AC41" s="37" t="s">
        <v>840</v>
      </c>
      <c r="AD41" s="37" t="s">
        <v>289</v>
      </c>
      <c r="AE41" s="37" t="s">
        <v>290</v>
      </c>
      <c r="AF41" s="37" t="s">
        <v>291</v>
      </c>
      <c r="AG41" s="37" t="s">
        <v>292</v>
      </c>
      <c r="AH41" s="37">
        <f>+COUNTIFS('Coded Segments'!$C$2:$C$913,SLR_Covidence_Data_Extraction__66_files[[#This Row],[Study ID_1]],'Coded Segments'!$D$2:$D$913,SLR_Covidence_Data_Extraction__66_files[[#Headers],[Adoption (AD) &gt; AD_High]])</f>
        <v>1</v>
      </c>
      <c r="AI41" s="37">
        <f>+COUNTIFS('Coded Segments'!$C$2:$C$913,SLR_Covidence_Data_Extraction__66_files[[#This Row],[Study ID_1]],'Coded Segments'!$D$2:$D$913,SLR_Covidence_Data_Extraction__66_files[[#Headers],[Adoption (AD) &gt; AD_Moderate]])</f>
        <v>0</v>
      </c>
      <c r="AJ41" s="37">
        <f>+COUNTIFS('Coded Segments'!$C$2:$C$913,SLR_Covidence_Data_Extraction__66_files[[#This Row],[Study ID_1]],'Coded Segments'!$D$2:$D$913,SLR_Covidence_Data_Extraction__66_files[[#Headers],[Adoption (AD) &gt; AD_Low]])</f>
        <v>0</v>
      </c>
      <c r="AK41" s="37">
        <f>+COUNTIFS('Coded Segments'!$C$2:$C$913,SLR_Covidence_Data_Extraction__66_files[[#This Row],[Study ID_1]],'Coded Segments'!$D$2:$D$913,SLR_Covidence_Data_Extraction__66_files[[#Headers],[Adoption (AD) &gt; AD_None]])</f>
        <v>0</v>
      </c>
      <c r="AL41" s="37">
        <f>+COUNTIFS('Coded Segments'!$C$2:$C$913,SLR_Covidence_Data_Extraction__66_files[[#This Row],[Study ID_1]],'Coded Segments'!$D$2:$D$913,SLR_Covidence_Data_Extraction__66_files[[#Headers],[Attitude (ATT) &gt; ATT_Negative]])</f>
        <v>3</v>
      </c>
      <c r="AM41" s="37">
        <f>+COUNTIFS('Coded Segments'!$C$2:$C$913,SLR_Covidence_Data_Extraction__66_files[[#This Row],[Study ID_1]],'Coded Segments'!$D$2:$D$913,SLR_Covidence_Data_Extraction__66_files[[#Headers],[Attitude (ATT) &gt; ATT_Positive]])</f>
        <v>8</v>
      </c>
      <c r="AN41" s="37">
        <f>+COUNTIFS('Coded Segments'!$C$2:$C$913,SLR_Covidence_Data_Extraction__66_files[[#This Row],[Study ID_1]],'Coded Segments'!$D$2:$D$913,SLR_Covidence_Data_Extraction__66_files[[#Headers],[Ethical Concerns (EC) &gt; EC_Bias]])</f>
        <v>0</v>
      </c>
      <c r="AO41" s="37">
        <f>+COUNTIFS('Coded Segments'!$C$2:$C$913,SLR_Covidence_Data_Extraction__66_files[[#This Row],[Study ID_1]],'Coded Segments'!$D$2:$D$913,SLR_Covidence_Data_Extraction__66_files[[#Headers],[Ethical Concerns (EC) &gt; EC_Copyright]])</f>
        <v>0</v>
      </c>
      <c r="AP41" s="37">
        <f>+COUNTIFS('Coded Segments'!$C$2:$C$913,SLR_Covidence_Data_Extraction__66_files[[#This Row],[Study ID_1]],'Coded Segments'!$D$2:$D$913,SLR_Covidence_Data_Extraction__66_files[[#Headers],[Ethical Concerns (EC) &gt; EC_Data safety &amp; confidentiality]])</f>
        <v>0</v>
      </c>
      <c r="AQ41" s="37">
        <f>+COUNTIFS('Coded Segments'!$C$2:$C$913,SLR_Covidence_Data_Extraction__66_files[[#This Row],[Study ID_1]],'Coded Segments'!$D$2:$D$913,SLR_Covidence_Data_Extraction__66_files[[#Headers],[Ethical Concerns (EC) &gt; EC_Environmental sustainability]])</f>
        <v>0</v>
      </c>
      <c r="AR41" s="37">
        <f>+COUNTIFS('Coded Segments'!$C$2:$C$913,SLR_Covidence_Data_Extraction__66_files[[#This Row],[Study ID_1]],'Coded Segments'!$D$2:$D$913,SLR_Covidence_Data_Extraction__66_files[[#Headers],[Ethical Concerns (EC) &gt; EC_Payment]])</f>
        <v>0</v>
      </c>
      <c r="AS41" s="37">
        <f>+COUNTIFS('Coded Segments'!$C$2:$C$912,SLR_Covidence_Data_Extraction__66_files[[#This Row],[Study ID_1]],'Coded Segments'!$D$2:$D$912,SLR_Covidence_Data_Extraction__66_files[[#Headers],[Ethical Concerns (EC) &gt; EC_Quality]])</f>
        <v>1</v>
      </c>
      <c r="AT41" s="37">
        <f>+COUNTIFS('Coded Segments'!$C$2:$C$913,SLR_Covidence_Data_Extraction__66_files[[#This Row],[Study ID_1]],'Coded Segments'!$D$2:$D$913,SLR_Covidence_Data_Extraction__66_files[[#Headers],[Ethical Concerns (EC) &gt; EC_Translators’ role &amp; status]])</f>
        <v>3</v>
      </c>
      <c r="AU41" s="37">
        <f>+COUNTIFS('Coded Segments'!$C$2:$C$913,SLR_Covidence_Data_Extraction__66_files[[#This Row],[Study ID_1]],'Coded Segments'!$D$2:$D$913,SLR_Covidence_Data_Extraction__66_files[[#Headers],[Ethical Concerns (EC) &gt; EC_Other]])</f>
        <v>0</v>
      </c>
      <c r="AV41" s="37">
        <f>+COUNTIFS('Coded Segments'!$C$2:$C$913,SLR_Covidence_Data_Extraction__66_files[[#This Row],[Study ID_1]],'Coded Segments'!$D$2:$D$913,SLR_Covidence_Data_Extraction__66_files[[#Headers],[Literacy (LIT) &gt; LIT_Generic]])</f>
        <v>0</v>
      </c>
      <c r="AW41" s="37">
        <f>+COUNTIFS('Coded Segments'!$C$2:$C$913,SLR_Covidence_Data_Extraction__66_files[[#This Row],[Study ID_1]],'Coded Segments'!$D$2:$D$913,SLR_Covidence_Data_Extraction__66_files[[#Headers],[Literacy (LIT) &gt; LIT_None ]])</f>
        <v>0</v>
      </c>
      <c r="AX41" s="37">
        <f>+COUNTIFS('Coded Segments'!$C$2:$C$913,SLR_Covidence_Data_Extraction__66_files[[#This Row],[Study ID_1]],'Coded Segments'!$D$2:$D$913,SLR_Covidence_Data_Extraction__66_files[[#Headers],[Literacy (LIT) &gt; LIT_Low ]])</f>
        <v>1</v>
      </c>
      <c r="AY41" s="37">
        <f>+COUNTIFS('Coded Segments'!$C$2:$C$913,SLR_Covidence_Data_Extraction__66_files[[#This Row],[Study ID_1]],'Coded Segments'!$D$2:$D$913,SLR_Covidence_Data_Extraction__66_files[[#Headers],[Literacy (LIT) &gt; LIT_High]])</f>
        <v>4</v>
      </c>
    </row>
    <row r="42" spans="1:51" x14ac:dyDescent="0.25">
      <c r="A42" s="37">
        <v>21</v>
      </c>
      <c r="B42" s="37" t="s">
        <v>588</v>
      </c>
      <c r="C42" s="37" t="s">
        <v>587</v>
      </c>
      <c r="D42" s="37" t="s">
        <v>589</v>
      </c>
      <c r="E42" s="37" t="s">
        <v>363</v>
      </c>
      <c r="F42" s="37" t="s">
        <v>490</v>
      </c>
      <c r="G42" s="37" t="s">
        <v>187</v>
      </c>
      <c r="H42" s="39" t="s">
        <v>839</v>
      </c>
      <c r="I42" s="39" t="str">
        <f>LEFT(SLR_Covidence_Data_Extraction__66_files[[#This Row],[Publication date]],4)</f>
        <v>2024</v>
      </c>
      <c r="J42" s="37" t="s">
        <v>769</v>
      </c>
      <c r="K42" s="37" t="s">
        <v>590</v>
      </c>
      <c r="L42" s="37" t="s">
        <v>1478</v>
      </c>
      <c r="O42" s="37" t="s">
        <v>912</v>
      </c>
      <c r="P42" s="37" t="s">
        <v>28</v>
      </c>
      <c r="Q42" s="37" t="s">
        <v>28</v>
      </c>
      <c r="R42" s="37">
        <v>36</v>
      </c>
      <c r="S42" s="37" t="s">
        <v>366</v>
      </c>
      <c r="T42" s="37" t="s">
        <v>367</v>
      </c>
      <c r="U42" s="37" t="s">
        <v>51</v>
      </c>
      <c r="V42" s="37" t="s">
        <v>32</v>
      </c>
      <c r="X42" s="37" t="s">
        <v>26</v>
      </c>
      <c r="Y42" s="37" t="s">
        <v>136</v>
      </c>
      <c r="Z42" s="37" t="s">
        <v>136</v>
      </c>
      <c r="AA42" s="37" t="s">
        <v>1463</v>
      </c>
      <c r="AB42" s="38">
        <v>252</v>
      </c>
      <c r="AC42" s="37" t="s">
        <v>850</v>
      </c>
      <c r="AD42" s="37" t="s">
        <v>591</v>
      </c>
      <c r="AE42" s="37" t="s">
        <v>592</v>
      </c>
      <c r="AF42" s="37" t="s">
        <v>593</v>
      </c>
      <c r="AG42" s="37" t="s">
        <v>232</v>
      </c>
      <c r="AH42" s="37">
        <f>+COUNTIFS('Coded Segments'!$C$2:$C$913,SLR_Covidence_Data_Extraction__66_files[[#This Row],[Study ID_1]],'Coded Segments'!$D$2:$D$913,SLR_Covidence_Data_Extraction__66_files[[#Headers],[Adoption (AD) &gt; AD_High]])</f>
        <v>0</v>
      </c>
      <c r="AI42" s="37">
        <f>+COUNTIFS('Coded Segments'!$C$2:$C$913,SLR_Covidence_Data_Extraction__66_files[[#This Row],[Study ID_1]],'Coded Segments'!$D$2:$D$913,SLR_Covidence_Data_Extraction__66_files[[#Headers],[Adoption (AD) &gt; AD_Moderate]])</f>
        <v>0</v>
      </c>
      <c r="AJ42" s="37">
        <f>+COUNTIFS('Coded Segments'!$C$2:$C$913,SLR_Covidence_Data_Extraction__66_files[[#This Row],[Study ID_1]],'Coded Segments'!$D$2:$D$913,SLR_Covidence_Data_Extraction__66_files[[#Headers],[Adoption (AD) &gt; AD_Low]])</f>
        <v>2</v>
      </c>
      <c r="AK42" s="37">
        <f>+COUNTIFS('Coded Segments'!$C$2:$C$913,SLR_Covidence_Data_Extraction__66_files[[#This Row],[Study ID_1]],'Coded Segments'!$D$2:$D$913,SLR_Covidence_Data_Extraction__66_files[[#Headers],[Adoption (AD) &gt; AD_None]])</f>
        <v>0</v>
      </c>
      <c r="AL42" s="37">
        <f>+COUNTIFS('Coded Segments'!$C$2:$C$913,SLR_Covidence_Data_Extraction__66_files[[#This Row],[Study ID_1]],'Coded Segments'!$D$2:$D$913,SLR_Covidence_Data_Extraction__66_files[[#Headers],[Attitude (ATT) &gt; ATT_Negative]])</f>
        <v>4</v>
      </c>
      <c r="AM42" s="37">
        <f>+COUNTIFS('Coded Segments'!$C$2:$C$913,SLR_Covidence_Data_Extraction__66_files[[#This Row],[Study ID_1]],'Coded Segments'!$D$2:$D$913,SLR_Covidence_Data_Extraction__66_files[[#Headers],[Attitude (ATT) &gt; ATT_Positive]])</f>
        <v>0</v>
      </c>
      <c r="AN42" s="37">
        <f>+COUNTIFS('Coded Segments'!$C$2:$C$913,SLR_Covidence_Data_Extraction__66_files[[#This Row],[Study ID_1]],'Coded Segments'!$D$2:$D$913,SLR_Covidence_Data_Extraction__66_files[[#Headers],[Ethical Concerns (EC) &gt; EC_Bias]])</f>
        <v>0</v>
      </c>
      <c r="AO42" s="37">
        <f>+COUNTIFS('Coded Segments'!$C$2:$C$913,SLR_Covidence_Data_Extraction__66_files[[#This Row],[Study ID_1]],'Coded Segments'!$D$2:$D$913,SLR_Covidence_Data_Extraction__66_files[[#Headers],[Ethical Concerns (EC) &gt; EC_Copyright]])</f>
        <v>0</v>
      </c>
      <c r="AP42" s="37">
        <f>+COUNTIFS('Coded Segments'!$C$2:$C$913,SLR_Covidence_Data_Extraction__66_files[[#This Row],[Study ID_1]],'Coded Segments'!$D$2:$D$913,SLR_Covidence_Data_Extraction__66_files[[#Headers],[Ethical Concerns (EC) &gt; EC_Data safety &amp; confidentiality]])</f>
        <v>0</v>
      </c>
      <c r="AQ42" s="37">
        <f>+COUNTIFS('Coded Segments'!$C$2:$C$913,SLR_Covidence_Data_Extraction__66_files[[#This Row],[Study ID_1]],'Coded Segments'!$D$2:$D$913,SLR_Covidence_Data_Extraction__66_files[[#Headers],[Ethical Concerns (EC) &gt; EC_Environmental sustainability]])</f>
        <v>0</v>
      </c>
      <c r="AR42" s="37">
        <f>+COUNTIFS('Coded Segments'!$C$2:$C$913,SLR_Covidence_Data_Extraction__66_files[[#This Row],[Study ID_1]],'Coded Segments'!$D$2:$D$913,SLR_Covidence_Data_Extraction__66_files[[#Headers],[Ethical Concerns (EC) &gt; EC_Payment]])</f>
        <v>2</v>
      </c>
      <c r="AS42" s="37">
        <f>+COUNTIFS('Coded Segments'!$C$2:$C$912,SLR_Covidence_Data_Extraction__66_files[[#This Row],[Study ID_1]],'Coded Segments'!$D$2:$D$912,SLR_Covidence_Data_Extraction__66_files[[#Headers],[Ethical Concerns (EC) &gt; EC_Quality]])</f>
        <v>1</v>
      </c>
      <c r="AT42" s="37">
        <f>+COUNTIFS('Coded Segments'!$C$2:$C$913,SLR_Covidence_Data_Extraction__66_files[[#This Row],[Study ID_1]],'Coded Segments'!$D$2:$D$913,SLR_Covidence_Data_Extraction__66_files[[#Headers],[Ethical Concerns (EC) &gt; EC_Translators’ role &amp; status]])</f>
        <v>2</v>
      </c>
      <c r="AU42" s="37">
        <f>+COUNTIFS('Coded Segments'!$C$2:$C$913,SLR_Covidence_Data_Extraction__66_files[[#This Row],[Study ID_1]],'Coded Segments'!$D$2:$D$913,SLR_Covidence_Data_Extraction__66_files[[#Headers],[Ethical Concerns (EC) &gt; EC_Other]])</f>
        <v>0</v>
      </c>
      <c r="AV42" s="37">
        <f>+COUNTIFS('Coded Segments'!$C$2:$C$913,SLR_Covidence_Data_Extraction__66_files[[#This Row],[Study ID_1]],'Coded Segments'!$D$2:$D$913,SLR_Covidence_Data_Extraction__66_files[[#Headers],[Literacy (LIT) &gt; LIT_Generic]])</f>
        <v>0</v>
      </c>
      <c r="AW42" s="37">
        <f>+COUNTIFS('Coded Segments'!$C$2:$C$913,SLR_Covidence_Data_Extraction__66_files[[#This Row],[Study ID_1]],'Coded Segments'!$D$2:$D$913,SLR_Covidence_Data_Extraction__66_files[[#Headers],[Literacy (LIT) &gt; LIT_None ]])</f>
        <v>0</v>
      </c>
      <c r="AX42" s="37">
        <f>+COUNTIFS('Coded Segments'!$C$2:$C$913,SLR_Covidence_Data_Extraction__66_files[[#This Row],[Study ID_1]],'Coded Segments'!$D$2:$D$913,SLR_Covidence_Data_Extraction__66_files[[#Headers],[Literacy (LIT) &gt; LIT_Low ]])</f>
        <v>1</v>
      </c>
      <c r="AY42" s="37">
        <f>+COUNTIFS('Coded Segments'!$C$2:$C$913,SLR_Covidence_Data_Extraction__66_files[[#This Row],[Study ID_1]],'Coded Segments'!$D$2:$D$913,SLR_Covidence_Data_Extraction__66_files[[#Headers],[Literacy (LIT) &gt; LIT_High]])</f>
        <v>0</v>
      </c>
    </row>
    <row r="43" spans="1:51" x14ac:dyDescent="0.25">
      <c r="A43" s="37">
        <v>2</v>
      </c>
      <c r="B43" s="37" t="s">
        <v>754</v>
      </c>
      <c r="C43" s="37" t="s">
        <v>753</v>
      </c>
      <c r="D43" s="37" t="s">
        <v>755</v>
      </c>
      <c r="E43" s="37" t="s">
        <v>756</v>
      </c>
      <c r="F43" s="37" t="s">
        <v>757</v>
      </c>
      <c r="G43" s="37" t="s">
        <v>187</v>
      </c>
      <c r="H43" s="39" t="s">
        <v>379</v>
      </c>
      <c r="I43" s="39" t="str">
        <f>LEFT(SLR_Covidence_Data_Extraction__66_files[[#This Row],[Publication date]],4)</f>
        <v>2024</v>
      </c>
      <c r="J43" s="37" t="s">
        <v>775</v>
      </c>
      <c r="K43" s="37" t="s">
        <v>758</v>
      </c>
      <c r="L43" s="37" t="s">
        <v>1478</v>
      </c>
      <c r="P43" s="37" t="s">
        <v>26</v>
      </c>
      <c r="Q43" s="37" t="s">
        <v>26</v>
      </c>
      <c r="S43" s="37" t="s">
        <v>90</v>
      </c>
      <c r="T43" s="37" t="s">
        <v>49</v>
      </c>
      <c r="U43" s="37" t="s">
        <v>759</v>
      </c>
      <c r="V43" s="37" t="s">
        <v>32</v>
      </c>
      <c r="X43" s="37" t="s">
        <v>760</v>
      </c>
      <c r="Y43" s="37" t="s">
        <v>761</v>
      </c>
      <c r="Z43" s="37" t="s">
        <v>136</v>
      </c>
      <c r="AA43" s="37" t="s">
        <v>1463</v>
      </c>
      <c r="AB43" s="38">
        <v>217</v>
      </c>
      <c r="AC43" s="37" t="s">
        <v>908</v>
      </c>
      <c r="AD43" s="37" t="s">
        <v>762</v>
      </c>
      <c r="AE43" s="37" t="s">
        <v>763</v>
      </c>
      <c r="AF43" s="37" t="s">
        <v>764</v>
      </c>
      <c r="AG43" s="37" t="s">
        <v>765</v>
      </c>
      <c r="AH43" s="37">
        <f>+COUNTIFS('Coded Segments'!$C$2:$C$913,SLR_Covidence_Data_Extraction__66_files[[#This Row],[Study ID_1]],'Coded Segments'!$D$2:$D$913,SLR_Covidence_Data_Extraction__66_files[[#Headers],[Adoption (AD) &gt; AD_High]])</f>
        <v>1</v>
      </c>
      <c r="AI43" s="37">
        <f>+COUNTIFS('Coded Segments'!$C$2:$C$913,SLR_Covidence_Data_Extraction__66_files[[#This Row],[Study ID_1]],'Coded Segments'!$D$2:$D$913,SLR_Covidence_Data_Extraction__66_files[[#Headers],[Adoption (AD) &gt; AD_Moderate]])</f>
        <v>0</v>
      </c>
      <c r="AJ43" s="37">
        <f>+COUNTIFS('Coded Segments'!$C$2:$C$913,SLR_Covidence_Data_Extraction__66_files[[#This Row],[Study ID_1]],'Coded Segments'!$D$2:$D$913,SLR_Covidence_Data_Extraction__66_files[[#Headers],[Adoption (AD) &gt; AD_Low]])</f>
        <v>0</v>
      </c>
      <c r="AK43" s="37">
        <f>+COUNTIFS('Coded Segments'!$C$2:$C$913,SLR_Covidence_Data_Extraction__66_files[[#This Row],[Study ID_1]],'Coded Segments'!$D$2:$D$913,SLR_Covidence_Data_Extraction__66_files[[#Headers],[Adoption (AD) &gt; AD_None]])</f>
        <v>0</v>
      </c>
      <c r="AL43" s="37">
        <f>+COUNTIFS('Coded Segments'!$C$2:$C$913,SLR_Covidence_Data_Extraction__66_files[[#This Row],[Study ID_1]],'Coded Segments'!$D$2:$D$913,SLR_Covidence_Data_Extraction__66_files[[#Headers],[Attitude (ATT) &gt; ATT_Negative]])</f>
        <v>2</v>
      </c>
      <c r="AM43" s="37">
        <f>+COUNTIFS('Coded Segments'!$C$2:$C$913,SLR_Covidence_Data_Extraction__66_files[[#This Row],[Study ID_1]],'Coded Segments'!$D$2:$D$913,SLR_Covidence_Data_Extraction__66_files[[#Headers],[Attitude (ATT) &gt; ATT_Positive]])</f>
        <v>0</v>
      </c>
      <c r="AN43" s="37">
        <f>+COUNTIFS('Coded Segments'!$C$2:$C$913,SLR_Covidence_Data_Extraction__66_files[[#This Row],[Study ID_1]],'Coded Segments'!$D$2:$D$913,SLR_Covidence_Data_Extraction__66_files[[#Headers],[Ethical Concerns (EC) &gt; EC_Bias]])</f>
        <v>0</v>
      </c>
      <c r="AO43" s="37">
        <f>+COUNTIFS('Coded Segments'!$C$2:$C$913,SLR_Covidence_Data_Extraction__66_files[[#This Row],[Study ID_1]],'Coded Segments'!$D$2:$D$913,SLR_Covidence_Data_Extraction__66_files[[#Headers],[Ethical Concerns (EC) &gt; EC_Copyright]])</f>
        <v>0</v>
      </c>
      <c r="AP43" s="37">
        <f>+COUNTIFS('Coded Segments'!$C$2:$C$913,SLR_Covidence_Data_Extraction__66_files[[#This Row],[Study ID_1]],'Coded Segments'!$D$2:$D$913,SLR_Covidence_Data_Extraction__66_files[[#Headers],[Ethical Concerns (EC) &gt; EC_Data safety &amp; confidentiality]])</f>
        <v>0</v>
      </c>
      <c r="AQ43" s="37">
        <f>+COUNTIFS('Coded Segments'!$C$2:$C$913,SLR_Covidence_Data_Extraction__66_files[[#This Row],[Study ID_1]],'Coded Segments'!$D$2:$D$913,SLR_Covidence_Data_Extraction__66_files[[#Headers],[Ethical Concerns (EC) &gt; EC_Environmental sustainability]])</f>
        <v>0</v>
      </c>
      <c r="AR43" s="37">
        <f>+COUNTIFS('Coded Segments'!$C$2:$C$913,SLR_Covidence_Data_Extraction__66_files[[#This Row],[Study ID_1]],'Coded Segments'!$D$2:$D$913,SLR_Covidence_Data_Extraction__66_files[[#Headers],[Ethical Concerns (EC) &gt; EC_Payment]])</f>
        <v>0</v>
      </c>
      <c r="AS43" s="37">
        <f>+COUNTIFS('Coded Segments'!$C$2:$C$912,SLR_Covidence_Data_Extraction__66_files[[#This Row],[Study ID_1]],'Coded Segments'!$D$2:$D$912,SLR_Covidence_Data_Extraction__66_files[[#Headers],[Ethical Concerns (EC) &gt; EC_Quality]])</f>
        <v>2</v>
      </c>
      <c r="AT43" s="37">
        <f>+COUNTIFS('Coded Segments'!$C$2:$C$913,SLR_Covidence_Data_Extraction__66_files[[#This Row],[Study ID_1]],'Coded Segments'!$D$2:$D$913,SLR_Covidence_Data_Extraction__66_files[[#Headers],[Ethical Concerns (EC) &gt; EC_Translators’ role &amp; status]])</f>
        <v>3</v>
      </c>
      <c r="AU43" s="37">
        <f>+COUNTIFS('Coded Segments'!$C$2:$C$913,SLR_Covidence_Data_Extraction__66_files[[#This Row],[Study ID_1]],'Coded Segments'!$D$2:$D$913,SLR_Covidence_Data_Extraction__66_files[[#Headers],[Ethical Concerns (EC) &gt; EC_Other]])</f>
        <v>0</v>
      </c>
      <c r="AV43" s="37">
        <f>+COUNTIFS('Coded Segments'!$C$2:$C$913,SLR_Covidence_Data_Extraction__66_files[[#This Row],[Study ID_1]],'Coded Segments'!$D$2:$D$913,SLR_Covidence_Data_Extraction__66_files[[#Headers],[Literacy (LIT) &gt; LIT_Generic]])</f>
        <v>1</v>
      </c>
      <c r="AW43" s="37">
        <f>+COUNTIFS('Coded Segments'!$C$2:$C$913,SLR_Covidence_Data_Extraction__66_files[[#This Row],[Study ID_1]],'Coded Segments'!$D$2:$D$913,SLR_Covidence_Data_Extraction__66_files[[#Headers],[Literacy (LIT) &gt; LIT_None ]])</f>
        <v>0</v>
      </c>
      <c r="AX43" s="37">
        <f>+COUNTIFS('Coded Segments'!$C$2:$C$913,SLR_Covidence_Data_Extraction__66_files[[#This Row],[Study ID_1]],'Coded Segments'!$D$2:$D$913,SLR_Covidence_Data_Extraction__66_files[[#Headers],[Literacy (LIT) &gt; LIT_Low ]])</f>
        <v>0</v>
      </c>
      <c r="AY43" s="37">
        <f>+COUNTIFS('Coded Segments'!$C$2:$C$913,SLR_Covidence_Data_Extraction__66_files[[#This Row],[Study ID_1]],'Coded Segments'!$D$2:$D$913,SLR_Covidence_Data_Extraction__66_files[[#Headers],[Literacy (LIT) &gt; LIT_High]])</f>
        <v>0</v>
      </c>
    </row>
    <row r="44" spans="1:51" x14ac:dyDescent="0.25">
      <c r="A44" s="37">
        <v>55</v>
      </c>
      <c r="B44" s="37" t="s">
        <v>327</v>
      </c>
      <c r="C44" s="37" t="s">
        <v>325</v>
      </c>
      <c r="D44" s="37" t="s">
        <v>326</v>
      </c>
      <c r="E44" s="37" t="s">
        <v>328</v>
      </c>
      <c r="F44" s="37" t="s">
        <v>329</v>
      </c>
      <c r="G44" s="37" t="s">
        <v>70</v>
      </c>
      <c r="H44" s="39" t="s">
        <v>49</v>
      </c>
      <c r="I44" s="39" t="str">
        <f>LEFT(SLR_Covidence_Data_Extraction__66_files[[#This Row],[Publication date]],4)</f>
        <v>2024</v>
      </c>
      <c r="J44" s="37" t="s">
        <v>70</v>
      </c>
      <c r="K44" s="37" t="s">
        <v>330</v>
      </c>
      <c r="L44" s="37" t="s">
        <v>1478</v>
      </c>
      <c r="M44" s="37" t="s">
        <v>788</v>
      </c>
      <c r="P44" s="37" t="s">
        <v>26</v>
      </c>
      <c r="Q44" s="37" t="s">
        <v>26</v>
      </c>
      <c r="S44" s="37" t="s">
        <v>26</v>
      </c>
      <c r="T44" s="37" t="s">
        <v>26</v>
      </c>
      <c r="U44" s="37" t="s">
        <v>331</v>
      </c>
      <c r="V44" s="37" t="s">
        <v>32</v>
      </c>
      <c r="X44" s="37" t="s">
        <v>26</v>
      </c>
      <c r="Y44" s="37" t="s">
        <v>332</v>
      </c>
      <c r="Z44" s="37" t="s">
        <v>136</v>
      </c>
      <c r="AA44" s="37" t="s">
        <v>1463</v>
      </c>
      <c r="AB44" s="38">
        <v>1143</v>
      </c>
      <c r="AC44" s="37" t="s">
        <v>845</v>
      </c>
      <c r="AD44" s="37" t="s">
        <v>333</v>
      </c>
      <c r="AE44" s="37" t="s">
        <v>334</v>
      </c>
      <c r="AF44" s="37" t="s">
        <v>335</v>
      </c>
      <c r="AG44" s="37" t="s">
        <v>336</v>
      </c>
      <c r="AH44" s="37">
        <f>+COUNTIFS('Coded Segments'!$C$2:$C$913,SLR_Covidence_Data_Extraction__66_files[[#This Row],[Study ID_1]],'Coded Segments'!$D$2:$D$913,SLR_Covidence_Data_Extraction__66_files[[#Headers],[Adoption (AD) &gt; AD_High]])</f>
        <v>2</v>
      </c>
      <c r="AI44" s="37">
        <f>+COUNTIFS('Coded Segments'!$C$2:$C$913,SLR_Covidence_Data_Extraction__66_files[[#This Row],[Study ID_1]],'Coded Segments'!$D$2:$D$913,SLR_Covidence_Data_Extraction__66_files[[#Headers],[Adoption (AD) &gt; AD_Moderate]])</f>
        <v>0</v>
      </c>
      <c r="AJ44" s="37">
        <f>+COUNTIFS('Coded Segments'!$C$2:$C$913,SLR_Covidence_Data_Extraction__66_files[[#This Row],[Study ID_1]],'Coded Segments'!$D$2:$D$913,SLR_Covidence_Data_Extraction__66_files[[#Headers],[Adoption (AD) &gt; AD_Low]])</f>
        <v>0</v>
      </c>
      <c r="AK44" s="37">
        <f>+COUNTIFS('Coded Segments'!$C$2:$C$913,SLR_Covidence_Data_Extraction__66_files[[#This Row],[Study ID_1]],'Coded Segments'!$D$2:$D$913,SLR_Covidence_Data_Extraction__66_files[[#Headers],[Adoption (AD) &gt; AD_None]])</f>
        <v>0</v>
      </c>
      <c r="AL44" s="37">
        <f>+COUNTIFS('Coded Segments'!$C$2:$C$913,SLR_Covidence_Data_Extraction__66_files[[#This Row],[Study ID_1]],'Coded Segments'!$D$2:$D$913,SLR_Covidence_Data_Extraction__66_files[[#Headers],[Attitude (ATT) &gt; ATT_Negative]])</f>
        <v>2</v>
      </c>
      <c r="AM44" s="37">
        <f>+COUNTIFS('Coded Segments'!$C$2:$C$913,SLR_Covidence_Data_Extraction__66_files[[#This Row],[Study ID_1]],'Coded Segments'!$D$2:$D$913,SLR_Covidence_Data_Extraction__66_files[[#Headers],[Attitude (ATT) &gt; ATT_Positive]])</f>
        <v>2</v>
      </c>
      <c r="AN44" s="37">
        <f>+COUNTIFS('Coded Segments'!$C$2:$C$913,SLR_Covidence_Data_Extraction__66_files[[#This Row],[Study ID_1]],'Coded Segments'!$D$2:$D$913,SLR_Covidence_Data_Extraction__66_files[[#Headers],[Ethical Concerns (EC) &gt; EC_Bias]])</f>
        <v>0</v>
      </c>
      <c r="AO44" s="37">
        <f>+COUNTIFS('Coded Segments'!$C$2:$C$913,SLR_Covidence_Data_Extraction__66_files[[#This Row],[Study ID_1]],'Coded Segments'!$D$2:$D$913,SLR_Covidence_Data_Extraction__66_files[[#Headers],[Ethical Concerns (EC) &gt; EC_Copyright]])</f>
        <v>0</v>
      </c>
      <c r="AP44" s="37">
        <f>+COUNTIFS('Coded Segments'!$C$2:$C$913,SLR_Covidence_Data_Extraction__66_files[[#This Row],[Study ID_1]],'Coded Segments'!$D$2:$D$913,SLR_Covidence_Data_Extraction__66_files[[#Headers],[Ethical Concerns (EC) &gt; EC_Data safety &amp; confidentiality]])</f>
        <v>0</v>
      </c>
      <c r="AQ44" s="37">
        <f>+COUNTIFS('Coded Segments'!$C$2:$C$913,SLR_Covidence_Data_Extraction__66_files[[#This Row],[Study ID_1]],'Coded Segments'!$D$2:$D$913,SLR_Covidence_Data_Extraction__66_files[[#Headers],[Ethical Concerns (EC) &gt; EC_Environmental sustainability]])</f>
        <v>0</v>
      </c>
      <c r="AR44" s="37">
        <f>+COUNTIFS('Coded Segments'!$C$2:$C$913,SLR_Covidence_Data_Extraction__66_files[[#This Row],[Study ID_1]],'Coded Segments'!$D$2:$D$913,SLR_Covidence_Data_Extraction__66_files[[#Headers],[Ethical Concerns (EC) &gt; EC_Payment]])</f>
        <v>0</v>
      </c>
      <c r="AS44" s="37">
        <f>+COUNTIFS('Coded Segments'!$C$2:$C$912,SLR_Covidence_Data_Extraction__66_files[[#This Row],[Study ID_1]],'Coded Segments'!$D$2:$D$912,SLR_Covidence_Data_Extraction__66_files[[#Headers],[Ethical Concerns (EC) &gt; EC_Quality]])</f>
        <v>2</v>
      </c>
      <c r="AT44" s="37">
        <f>+COUNTIFS('Coded Segments'!$C$2:$C$913,SLR_Covidence_Data_Extraction__66_files[[#This Row],[Study ID_1]],'Coded Segments'!$D$2:$D$913,SLR_Covidence_Data_Extraction__66_files[[#Headers],[Ethical Concerns (EC) &gt; EC_Translators’ role &amp; status]])</f>
        <v>0</v>
      </c>
      <c r="AU44" s="37">
        <f>+COUNTIFS('Coded Segments'!$C$2:$C$913,SLR_Covidence_Data_Extraction__66_files[[#This Row],[Study ID_1]],'Coded Segments'!$D$2:$D$913,SLR_Covidence_Data_Extraction__66_files[[#Headers],[Ethical Concerns (EC) &gt; EC_Other]])</f>
        <v>0</v>
      </c>
      <c r="AV44" s="37">
        <f>+COUNTIFS('Coded Segments'!$C$2:$C$913,SLR_Covidence_Data_Extraction__66_files[[#This Row],[Study ID_1]],'Coded Segments'!$D$2:$D$913,SLR_Covidence_Data_Extraction__66_files[[#Headers],[Literacy (LIT) &gt; LIT_Generic]])</f>
        <v>0</v>
      </c>
      <c r="AW44" s="37">
        <f>+COUNTIFS('Coded Segments'!$C$2:$C$913,SLR_Covidence_Data_Extraction__66_files[[#This Row],[Study ID_1]],'Coded Segments'!$D$2:$D$913,SLR_Covidence_Data_Extraction__66_files[[#Headers],[Literacy (LIT) &gt; LIT_None ]])</f>
        <v>0</v>
      </c>
      <c r="AX44" s="37">
        <f>+COUNTIFS('Coded Segments'!$C$2:$C$913,SLR_Covidence_Data_Extraction__66_files[[#This Row],[Study ID_1]],'Coded Segments'!$D$2:$D$913,SLR_Covidence_Data_Extraction__66_files[[#Headers],[Literacy (LIT) &gt; LIT_Low ]])</f>
        <v>0</v>
      </c>
      <c r="AY44" s="37">
        <f>+COUNTIFS('Coded Segments'!$C$2:$C$913,SLR_Covidence_Data_Extraction__66_files[[#This Row],[Study ID_1]],'Coded Segments'!$D$2:$D$913,SLR_Covidence_Data_Extraction__66_files[[#Headers],[Literacy (LIT) &gt; LIT_High]])</f>
        <v>0</v>
      </c>
    </row>
    <row r="45" spans="1:51" x14ac:dyDescent="0.25">
      <c r="A45" s="37">
        <v>72</v>
      </c>
      <c r="B45" s="37" t="s">
        <v>182</v>
      </c>
      <c r="C45" s="37" t="s">
        <v>181</v>
      </c>
      <c r="D45" s="37" t="s">
        <v>183</v>
      </c>
      <c r="E45" s="37" t="s">
        <v>184</v>
      </c>
      <c r="F45" s="37" t="s">
        <v>185</v>
      </c>
      <c r="G45" s="37" t="s">
        <v>187</v>
      </c>
      <c r="H45" s="39" t="s">
        <v>186</v>
      </c>
      <c r="I45" s="39" t="str">
        <f>LEFT(SLR_Covidence_Data_Extraction__66_files[[#This Row],[Publication date]],4)</f>
        <v>2024</v>
      </c>
      <c r="J45" s="37" t="s">
        <v>187</v>
      </c>
      <c r="K45" s="37" t="s">
        <v>188</v>
      </c>
      <c r="L45" s="37" t="s">
        <v>1478</v>
      </c>
      <c r="P45" s="37" t="s">
        <v>189</v>
      </c>
      <c r="Q45" s="37" t="s">
        <v>190</v>
      </c>
      <c r="R45" s="37">
        <v>5</v>
      </c>
      <c r="S45" s="37" t="s">
        <v>26</v>
      </c>
      <c r="T45" s="37" t="s">
        <v>26</v>
      </c>
      <c r="U45" s="37" t="s">
        <v>191</v>
      </c>
      <c r="V45" s="37" t="s">
        <v>32</v>
      </c>
      <c r="X45" s="37" t="s">
        <v>192</v>
      </c>
      <c r="Y45" s="37" t="s">
        <v>193</v>
      </c>
      <c r="Z45" s="37" t="s">
        <v>136</v>
      </c>
      <c r="AA45" s="37" t="s">
        <v>1470</v>
      </c>
      <c r="AB45" s="38">
        <v>11</v>
      </c>
      <c r="AC45" s="37" t="s">
        <v>824</v>
      </c>
      <c r="AD45" s="37" t="s">
        <v>1668</v>
      </c>
      <c r="AE45" s="37" t="s">
        <v>194</v>
      </c>
      <c r="AF45" s="37" t="s">
        <v>195</v>
      </c>
      <c r="AG45" s="37" t="s">
        <v>196</v>
      </c>
      <c r="AH45" s="37">
        <f>+COUNTIFS('Coded Segments'!$C$2:$C$913,SLR_Covidence_Data_Extraction__66_files[[#This Row],[Study ID_1]],'Coded Segments'!$D$2:$D$913,SLR_Covidence_Data_Extraction__66_files[[#Headers],[Adoption (AD) &gt; AD_High]])</f>
        <v>0</v>
      </c>
      <c r="AI45" s="37">
        <f>+COUNTIFS('Coded Segments'!$C$2:$C$913,SLR_Covidence_Data_Extraction__66_files[[#This Row],[Study ID_1]],'Coded Segments'!$D$2:$D$913,SLR_Covidence_Data_Extraction__66_files[[#Headers],[Adoption (AD) &gt; AD_Moderate]])</f>
        <v>0</v>
      </c>
      <c r="AJ45" s="37">
        <f>+COUNTIFS('Coded Segments'!$C$2:$C$913,SLR_Covidence_Data_Extraction__66_files[[#This Row],[Study ID_1]],'Coded Segments'!$D$2:$D$913,SLR_Covidence_Data_Extraction__66_files[[#Headers],[Adoption (AD) &gt; AD_Low]])</f>
        <v>0</v>
      </c>
      <c r="AK45" s="37">
        <f>+COUNTIFS('Coded Segments'!$C$2:$C$913,SLR_Covidence_Data_Extraction__66_files[[#This Row],[Study ID_1]],'Coded Segments'!$D$2:$D$913,SLR_Covidence_Data_Extraction__66_files[[#Headers],[Adoption (AD) &gt; AD_None]])</f>
        <v>0</v>
      </c>
      <c r="AL45" s="37">
        <f>+COUNTIFS('Coded Segments'!$C$2:$C$913,SLR_Covidence_Data_Extraction__66_files[[#This Row],[Study ID_1]],'Coded Segments'!$D$2:$D$913,SLR_Covidence_Data_Extraction__66_files[[#Headers],[Attitude (ATT) &gt; ATT_Negative]])</f>
        <v>2</v>
      </c>
      <c r="AM45" s="37">
        <f>+COUNTIFS('Coded Segments'!$C$2:$C$913,SLR_Covidence_Data_Extraction__66_files[[#This Row],[Study ID_1]],'Coded Segments'!$D$2:$D$913,SLR_Covidence_Data_Extraction__66_files[[#Headers],[Attitude (ATT) &gt; ATT_Positive]])</f>
        <v>2</v>
      </c>
      <c r="AN45" s="37">
        <f>+COUNTIFS('Coded Segments'!$C$2:$C$913,SLR_Covidence_Data_Extraction__66_files[[#This Row],[Study ID_1]],'Coded Segments'!$D$2:$D$913,SLR_Covidence_Data_Extraction__66_files[[#Headers],[Ethical Concerns (EC) &gt; EC_Bias]])</f>
        <v>0</v>
      </c>
      <c r="AO45" s="37">
        <f>+COUNTIFS('Coded Segments'!$C$2:$C$913,SLR_Covidence_Data_Extraction__66_files[[#This Row],[Study ID_1]],'Coded Segments'!$D$2:$D$913,SLR_Covidence_Data_Extraction__66_files[[#Headers],[Ethical Concerns (EC) &gt; EC_Copyright]])</f>
        <v>0</v>
      </c>
      <c r="AP45" s="37">
        <f>+COUNTIFS('Coded Segments'!$C$2:$C$913,SLR_Covidence_Data_Extraction__66_files[[#This Row],[Study ID_1]],'Coded Segments'!$D$2:$D$913,SLR_Covidence_Data_Extraction__66_files[[#Headers],[Ethical Concerns (EC) &gt; EC_Data safety &amp; confidentiality]])</f>
        <v>0</v>
      </c>
      <c r="AQ45" s="37">
        <f>+COUNTIFS('Coded Segments'!$C$2:$C$913,SLR_Covidence_Data_Extraction__66_files[[#This Row],[Study ID_1]],'Coded Segments'!$D$2:$D$913,SLR_Covidence_Data_Extraction__66_files[[#Headers],[Ethical Concerns (EC) &gt; EC_Environmental sustainability]])</f>
        <v>0</v>
      </c>
      <c r="AR45" s="37">
        <f>+COUNTIFS('Coded Segments'!$C$2:$C$913,SLR_Covidence_Data_Extraction__66_files[[#This Row],[Study ID_1]],'Coded Segments'!$D$2:$D$913,SLR_Covidence_Data_Extraction__66_files[[#Headers],[Ethical Concerns (EC) &gt; EC_Payment]])</f>
        <v>0</v>
      </c>
      <c r="AS45" s="37">
        <f>+COUNTIFS('Coded Segments'!$C$2:$C$912,SLR_Covidence_Data_Extraction__66_files[[#This Row],[Study ID_1]],'Coded Segments'!$D$2:$D$912,SLR_Covidence_Data_Extraction__66_files[[#Headers],[Ethical Concerns (EC) &gt; EC_Quality]])</f>
        <v>4</v>
      </c>
      <c r="AT45" s="37">
        <f>+COUNTIFS('Coded Segments'!$C$2:$C$913,SLR_Covidence_Data_Extraction__66_files[[#This Row],[Study ID_1]],'Coded Segments'!$D$2:$D$913,SLR_Covidence_Data_Extraction__66_files[[#Headers],[Ethical Concerns (EC) &gt; EC_Translators’ role &amp; status]])</f>
        <v>0</v>
      </c>
      <c r="AU45" s="37">
        <f>+COUNTIFS('Coded Segments'!$C$2:$C$913,SLR_Covidence_Data_Extraction__66_files[[#This Row],[Study ID_1]],'Coded Segments'!$D$2:$D$913,SLR_Covidence_Data_Extraction__66_files[[#Headers],[Ethical Concerns (EC) &gt; EC_Other]])</f>
        <v>0</v>
      </c>
      <c r="AV45" s="37">
        <f>+COUNTIFS('Coded Segments'!$C$2:$C$913,SLR_Covidence_Data_Extraction__66_files[[#This Row],[Study ID_1]],'Coded Segments'!$D$2:$D$913,SLR_Covidence_Data_Extraction__66_files[[#Headers],[Literacy (LIT) &gt; LIT_Generic]])</f>
        <v>0</v>
      </c>
      <c r="AW45" s="37">
        <f>+COUNTIFS('Coded Segments'!$C$2:$C$913,SLR_Covidence_Data_Extraction__66_files[[#This Row],[Study ID_1]],'Coded Segments'!$D$2:$D$913,SLR_Covidence_Data_Extraction__66_files[[#Headers],[Literacy (LIT) &gt; LIT_None ]])</f>
        <v>0</v>
      </c>
      <c r="AX45" s="37">
        <f>+COUNTIFS('Coded Segments'!$C$2:$C$913,SLR_Covidence_Data_Extraction__66_files[[#This Row],[Study ID_1]],'Coded Segments'!$D$2:$D$913,SLR_Covidence_Data_Extraction__66_files[[#Headers],[Literacy (LIT) &gt; LIT_Low ]])</f>
        <v>0</v>
      </c>
      <c r="AY45" s="37">
        <f>+COUNTIFS('Coded Segments'!$C$2:$C$913,SLR_Covidence_Data_Extraction__66_files[[#This Row],[Study ID_1]],'Coded Segments'!$D$2:$D$913,SLR_Covidence_Data_Extraction__66_files[[#Headers],[Literacy (LIT) &gt; LIT_High]])</f>
        <v>0</v>
      </c>
    </row>
    <row r="46" spans="1:51" x14ac:dyDescent="0.25">
      <c r="A46" s="37">
        <v>14</v>
      </c>
      <c r="B46" s="37" t="s">
        <v>640</v>
      </c>
      <c r="C46" s="37" t="s">
        <v>639</v>
      </c>
      <c r="D46" s="37" t="s">
        <v>641</v>
      </c>
      <c r="E46" s="37" t="s">
        <v>642</v>
      </c>
      <c r="F46" s="37" t="s">
        <v>643</v>
      </c>
      <c r="G46" s="37" t="s">
        <v>784</v>
      </c>
      <c r="H46" s="39" t="s">
        <v>883</v>
      </c>
      <c r="I46" s="39" t="str">
        <f>LEFT(SLR_Covidence_Data_Extraction__66_files[[#This Row],[Publication date]],4)</f>
        <v>2024</v>
      </c>
      <c r="J46" s="37" t="s">
        <v>101</v>
      </c>
      <c r="K46" s="37" t="s">
        <v>644</v>
      </c>
      <c r="L46" s="37" t="s">
        <v>1478</v>
      </c>
      <c r="P46" s="37" t="s">
        <v>28</v>
      </c>
      <c r="Q46" s="37" t="s">
        <v>28</v>
      </c>
      <c r="R46" s="37">
        <v>100</v>
      </c>
      <c r="S46" s="37" t="s">
        <v>645</v>
      </c>
      <c r="T46" s="37" t="s">
        <v>646</v>
      </c>
      <c r="U46" s="37" t="s">
        <v>31</v>
      </c>
      <c r="V46" s="37" t="s">
        <v>32</v>
      </c>
      <c r="X46" s="37" t="s">
        <v>647</v>
      </c>
      <c r="Y46" s="37" t="s">
        <v>648</v>
      </c>
      <c r="Z46" s="37" t="s">
        <v>136</v>
      </c>
      <c r="AA46" s="37" t="s">
        <v>1463</v>
      </c>
      <c r="AB46" s="38">
        <v>390</v>
      </c>
      <c r="AC46" s="37" t="s">
        <v>884</v>
      </c>
      <c r="AD46" s="37" t="s">
        <v>649</v>
      </c>
      <c r="AE46" s="37" t="s">
        <v>650</v>
      </c>
      <c r="AF46" s="37" t="s">
        <v>651</v>
      </c>
      <c r="AG46" s="37" t="s">
        <v>125</v>
      </c>
      <c r="AH46" s="37">
        <f>+COUNTIFS('Coded Segments'!$C$2:$C$913,SLR_Covidence_Data_Extraction__66_files[[#This Row],[Study ID_1]],'Coded Segments'!$D$2:$D$913,SLR_Covidence_Data_Extraction__66_files[[#Headers],[Adoption (AD) &gt; AD_High]])</f>
        <v>1</v>
      </c>
      <c r="AI46" s="37">
        <f>+COUNTIFS('Coded Segments'!$C$2:$C$913,SLR_Covidence_Data_Extraction__66_files[[#This Row],[Study ID_1]],'Coded Segments'!$D$2:$D$913,SLR_Covidence_Data_Extraction__66_files[[#Headers],[Adoption (AD) &gt; AD_Moderate]])</f>
        <v>0</v>
      </c>
      <c r="AJ46" s="37">
        <f>+COUNTIFS('Coded Segments'!$C$2:$C$913,SLR_Covidence_Data_Extraction__66_files[[#This Row],[Study ID_1]],'Coded Segments'!$D$2:$D$913,SLR_Covidence_Data_Extraction__66_files[[#Headers],[Adoption (AD) &gt; AD_Low]])</f>
        <v>0</v>
      </c>
      <c r="AK46" s="37">
        <f>+COUNTIFS('Coded Segments'!$C$2:$C$913,SLR_Covidence_Data_Extraction__66_files[[#This Row],[Study ID_1]],'Coded Segments'!$D$2:$D$913,SLR_Covidence_Data_Extraction__66_files[[#Headers],[Adoption (AD) &gt; AD_None]])</f>
        <v>0</v>
      </c>
      <c r="AL46" s="37">
        <f>+COUNTIFS('Coded Segments'!$C$2:$C$913,SLR_Covidence_Data_Extraction__66_files[[#This Row],[Study ID_1]],'Coded Segments'!$D$2:$D$913,SLR_Covidence_Data_Extraction__66_files[[#Headers],[Attitude (ATT) &gt; ATT_Negative]])</f>
        <v>0</v>
      </c>
      <c r="AM46" s="37">
        <f>+COUNTIFS('Coded Segments'!$C$2:$C$913,SLR_Covidence_Data_Extraction__66_files[[#This Row],[Study ID_1]],'Coded Segments'!$D$2:$D$913,SLR_Covidence_Data_Extraction__66_files[[#Headers],[Attitude (ATT) &gt; ATT_Positive]])</f>
        <v>3</v>
      </c>
      <c r="AN46" s="37">
        <f>+COUNTIFS('Coded Segments'!$C$2:$C$913,SLR_Covidence_Data_Extraction__66_files[[#This Row],[Study ID_1]],'Coded Segments'!$D$2:$D$913,SLR_Covidence_Data_Extraction__66_files[[#Headers],[Ethical Concerns (EC) &gt; EC_Bias]])</f>
        <v>0</v>
      </c>
      <c r="AO46" s="37">
        <f>+COUNTIFS('Coded Segments'!$C$2:$C$913,SLR_Covidence_Data_Extraction__66_files[[#This Row],[Study ID_1]],'Coded Segments'!$D$2:$D$913,SLR_Covidence_Data_Extraction__66_files[[#Headers],[Ethical Concerns (EC) &gt; EC_Copyright]])</f>
        <v>0</v>
      </c>
      <c r="AP46" s="37">
        <f>+COUNTIFS('Coded Segments'!$C$2:$C$913,SLR_Covidence_Data_Extraction__66_files[[#This Row],[Study ID_1]],'Coded Segments'!$D$2:$D$913,SLR_Covidence_Data_Extraction__66_files[[#Headers],[Ethical Concerns (EC) &gt; EC_Data safety &amp; confidentiality]])</f>
        <v>0</v>
      </c>
      <c r="AQ46" s="37">
        <f>+COUNTIFS('Coded Segments'!$C$2:$C$913,SLR_Covidence_Data_Extraction__66_files[[#This Row],[Study ID_1]],'Coded Segments'!$D$2:$D$913,SLR_Covidence_Data_Extraction__66_files[[#Headers],[Ethical Concerns (EC) &gt; EC_Environmental sustainability]])</f>
        <v>0</v>
      </c>
      <c r="AR46" s="37">
        <f>+COUNTIFS('Coded Segments'!$C$2:$C$913,SLR_Covidence_Data_Extraction__66_files[[#This Row],[Study ID_1]],'Coded Segments'!$D$2:$D$913,SLR_Covidence_Data_Extraction__66_files[[#Headers],[Ethical Concerns (EC) &gt; EC_Payment]])</f>
        <v>0</v>
      </c>
      <c r="AS46" s="37">
        <f>+COUNTIFS('Coded Segments'!$C$2:$C$912,SLR_Covidence_Data_Extraction__66_files[[#This Row],[Study ID_1]],'Coded Segments'!$D$2:$D$912,SLR_Covidence_Data_Extraction__66_files[[#Headers],[Ethical Concerns (EC) &gt; EC_Quality]])</f>
        <v>0</v>
      </c>
      <c r="AT46" s="37">
        <f>+COUNTIFS('Coded Segments'!$C$2:$C$913,SLR_Covidence_Data_Extraction__66_files[[#This Row],[Study ID_1]],'Coded Segments'!$D$2:$D$913,SLR_Covidence_Data_Extraction__66_files[[#Headers],[Ethical Concerns (EC) &gt; EC_Translators’ role &amp; status]])</f>
        <v>0</v>
      </c>
      <c r="AU46" s="37">
        <f>+COUNTIFS('Coded Segments'!$C$2:$C$913,SLR_Covidence_Data_Extraction__66_files[[#This Row],[Study ID_1]],'Coded Segments'!$D$2:$D$913,SLR_Covidence_Data_Extraction__66_files[[#Headers],[Ethical Concerns (EC) &gt; EC_Other]])</f>
        <v>0</v>
      </c>
      <c r="AV46" s="37">
        <f>+COUNTIFS('Coded Segments'!$C$2:$C$913,SLR_Covidence_Data_Extraction__66_files[[#This Row],[Study ID_1]],'Coded Segments'!$D$2:$D$913,SLR_Covidence_Data_Extraction__66_files[[#Headers],[Literacy (LIT) &gt; LIT_Generic]])</f>
        <v>0</v>
      </c>
      <c r="AW46" s="37">
        <f>+COUNTIFS('Coded Segments'!$C$2:$C$913,SLR_Covidence_Data_Extraction__66_files[[#This Row],[Study ID_1]],'Coded Segments'!$D$2:$D$913,SLR_Covidence_Data_Extraction__66_files[[#Headers],[Literacy (LIT) &gt; LIT_None ]])</f>
        <v>0</v>
      </c>
      <c r="AX46" s="37">
        <f>+COUNTIFS('Coded Segments'!$C$2:$C$913,SLR_Covidence_Data_Extraction__66_files[[#This Row],[Study ID_1]],'Coded Segments'!$D$2:$D$913,SLR_Covidence_Data_Extraction__66_files[[#Headers],[Literacy (LIT) &gt; LIT_Low ]])</f>
        <v>0</v>
      </c>
      <c r="AY46" s="37">
        <f>+COUNTIFS('Coded Segments'!$C$2:$C$913,SLR_Covidence_Data_Extraction__66_files[[#This Row],[Study ID_1]],'Coded Segments'!$D$2:$D$913,SLR_Covidence_Data_Extraction__66_files[[#Headers],[Literacy (LIT) &gt; LIT_High]])</f>
        <v>0</v>
      </c>
    </row>
    <row r="47" spans="1:51" x14ac:dyDescent="0.25">
      <c r="A47" s="37">
        <v>58</v>
      </c>
      <c r="B47" s="37" t="s">
        <v>295</v>
      </c>
      <c r="C47" s="37" t="s">
        <v>293</v>
      </c>
      <c r="D47" s="37" t="s">
        <v>294</v>
      </c>
      <c r="E47" s="37" t="s">
        <v>296</v>
      </c>
      <c r="F47" s="37" t="s">
        <v>297</v>
      </c>
      <c r="G47" s="37" t="s">
        <v>778</v>
      </c>
      <c r="H47" s="39" t="s">
        <v>841</v>
      </c>
      <c r="I47" s="39" t="str">
        <f>LEFT(SLR_Covidence_Data_Extraction__66_files[[#This Row],[Publication date]],4)</f>
        <v>2024</v>
      </c>
      <c r="J47" s="37" t="s">
        <v>778</v>
      </c>
      <c r="K47" s="37" t="s">
        <v>298</v>
      </c>
      <c r="N47" s="37" t="s">
        <v>1480</v>
      </c>
      <c r="P47" s="37" t="s">
        <v>26</v>
      </c>
      <c r="Q47" s="37" t="s">
        <v>26</v>
      </c>
      <c r="S47" s="37" t="s">
        <v>26</v>
      </c>
      <c r="T47" s="37" t="s">
        <v>26</v>
      </c>
      <c r="U47" s="37" t="s">
        <v>26</v>
      </c>
      <c r="V47" s="37" t="s">
        <v>32</v>
      </c>
      <c r="W47" s="37" t="s">
        <v>148</v>
      </c>
      <c r="X47" s="37" t="s">
        <v>26</v>
      </c>
      <c r="Y47" s="37" t="s">
        <v>299</v>
      </c>
      <c r="Z47" s="37" t="s">
        <v>136</v>
      </c>
      <c r="AA47" s="37" t="s">
        <v>1473</v>
      </c>
      <c r="AB47" s="38">
        <v>17</v>
      </c>
      <c r="AC47" s="37" t="s">
        <v>842</v>
      </c>
      <c r="AD47" s="37" t="s">
        <v>300</v>
      </c>
      <c r="AE47" s="37" t="s">
        <v>301</v>
      </c>
      <c r="AF47" s="37" t="s">
        <v>302</v>
      </c>
      <c r="AG47" s="37" t="s">
        <v>38</v>
      </c>
      <c r="AH47" s="37">
        <f>+COUNTIFS('Coded Segments'!$C$2:$C$913,SLR_Covidence_Data_Extraction__66_files[[#This Row],[Study ID_1]],'Coded Segments'!$D$2:$D$913,SLR_Covidence_Data_Extraction__66_files[[#Headers],[Adoption (AD) &gt; AD_High]])</f>
        <v>0</v>
      </c>
      <c r="AI47" s="37">
        <f>+COUNTIFS('Coded Segments'!$C$2:$C$913,SLR_Covidence_Data_Extraction__66_files[[#This Row],[Study ID_1]],'Coded Segments'!$D$2:$D$913,SLR_Covidence_Data_Extraction__66_files[[#Headers],[Adoption (AD) &gt; AD_Moderate]])</f>
        <v>0</v>
      </c>
      <c r="AJ47" s="37">
        <f>+COUNTIFS('Coded Segments'!$C$2:$C$913,SLR_Covidence_Data_Extraction__66_files[[#This Row],[Study ID_1]],'Coded Segments'!$D$2:$D$913,SLR_Covidence_Data_Extraction__66_files[[#Headers],[Adoption (AD) &gt; AD_Low]])</f>
        <v>1</v>
      </c>
      <c r="AK47" s="37">
        <f>+COUNTIFS('Coded Segments'!$C$2:$C$913,SLR_Covidence_Data_Extraction__66_files[[#This Row],[Study ID_1]],'Coded Segments'!$D$2:$D$913,SLR_Covidence_Data_Extraction__66_files[[#Headers],[Adoption (AD) &gt; AD_None]])</f>
        <v>0</v>
      </c>
      <c r="AL47" s="37">
        <f>+COUNTIFS('Coded Segments'!$C$2:$C$913,SLR_Covidence_Data_Extraction__66_files[[#This Row],[Study ID_1]],'Coded Segments'!$D$2:$D$913,SLR_Covidence_Data_Extraction__66_files[[#Headers],[Attitude (ATT) &gt; ATT_Negative]])</f>
        <v>1</v>
      </c>
      <c r="AM47" s="37">
        <f>+COUNTIFS('Coded Segments'!$C$2:$C$913,SLR_Covidence_Data_Extraction__66_files[[#This Row],[Study ID_1]],'Coded Segments'!$D$2:$D$913,SLR_Covidence_Data_Extraction__66_files[[#Headers],[Attitude (ATT) &gt; ATT_Positive]])</f>
        <v>1</v>
      </c>
      <c r="AN47" s="37">
        <f>+COUNTIFS('Coded Segments'!$C$2:$C$913,SLR_Covidence_Data_Extraction__66_files[[#This Row],[Study ID_1]],'Coded Segments'!$D$2:$D$913,SLR_Covidence_Data_Extraction__66_files[[#Headers],[Ethical Concerns (EC) &gt; EC_Bias]])</f>
        <v>0</v>
      </c>
      <c r="AO47" s="37">
        <f>+COUNTIFS('Coded Segments'!$C$2:$C$913,SLR_Covidence_Data_Extraction__66_files[[#This Row],[Study ID_1]],'Coded Segments'!$D$2:$D$913,SLR_Covidence_Data_Extraction__66_files[[#Headers],[Ethical Concerns (EC) &gt; EC_Copyright]])</f>
        <v>0</v>
      </c>
      <c r="AP47" s="37">
        <f>+COUNTIFS('Coded Segments'!$C$2:$C$913,SLR_Covidence_Data_Extraction__66_files[[#This Row],[Study ID_1]],'Coded Segments'!$D$2:$D$913,SLR_Covidence_Data_Extraction__66_files[[#Headers],[Ethical Concerns (EC) &gt; EC_Data safety &amp; confidentiality]])</f>
        <v>0</v>
      </c>
      <c r="AQ47" s="37">
        <f>+COUNTIFS('Coded Segments'!$C$2:$C$913,SLR_Covidence_Data_Extraction__66_files[[#This Row],[Study ID_1]],'Coded Segments'!$D$2:$D$913,SLR_Covidence_Data_Extraction__66_files[[#Headers],[Ethical Concerns (EC) &gt; EC_Environmental sustainability]])</f>
        <v>0</v>
      </c>
      <c r="AR47" s="37">
        <f>+COUNTIFS('Coded Segments'!$C$2:$C$913,SLR_Covidence_Data_Extraction__66_files[[#This Row],[Study ID_1]],'Coded Segments'!$D$2:$D$913,SLR_Covidence_Data_Extraction__66_files[[#Headers],[Ethical Concerns (EC) &gt; EC_Payment]])</f>
        <v>0</v>
      </c>
      <c r="AS47" s="37">
        <f>+COUNTIFS('Coded Segments'!$C$2:$C$912,SLR_Covidence_Data_Extraction__66_files[[#This Row],[Study ID_1]],'Coded Segments'!$D$2:$D$912,SLR_Covidence_Data_Extraction__66_files[[#Headers],[Ethical Concerns (EC) &gt; EC_Quality]])</f>
        <v>1</v>
      </c>
      <c r="AT47" s="37">
        <f>+COUNTIFS('Coded Segments'!$C$2:$C$913,SLR_Covidence_Data_Extraction__66_files[[#This Row],[Study ID_1]],'Coded Segments'!$D$2:$D$913,SLR_Covidence_Data_Extraction__66_files[[#Headers],[Ethical Concerns (EC) &gt; EC_Translators’ role &amp; status]])</f>
        <v>2</v>
      </c>
      <c r="AU47" s="37">
        <f>+COUNTIFS('Coded Segments'!$C$2:$C$913,SLR_Covidence_Data_Extraction__66_files[[#This Row],[Study ID_1]],'Coded Segments'!$D$2:$D$913,SLR_Covidence_Data_Extraction__66_files[[#Headers],[Ethical Concerns (EC) &gt; EC_Other]])</f>
        <v>0</v>
      </c>
      <c r="AV47" s="37">
        <f>+COUNTIFS('Coded Segments'!$C$2:$C$913,SLR_Covidence_Data_Extraction__66_files[[#This Row],[Study ID_1]],'Coded Segments'!$D$2:$D$913,SLR_Covidence_Data_Extraction__66_files[[#Headers],[Literacy (LIT) &gt; LIT_Generic]])</f>
        <v>2</v>
      </c>
      <c r="AW47" s="37">
        <f>+COUNTIFS('Coded Segments'!$C$2:$C$913,SLR_Covidence_Data_Extraction__66_files[[#This Row],[Study ID_1]],'Coded Segments'!$D$2:$D$913,SLR_Covidence_Data_Extraction__66_files[[#Headers],[Literacy (LIT) &gt; LIT_None ]])</f>
        <v>0</v>
      </c>
      <c r="AX47" s="37">
        <f>+COUNTIFS('Coded Segments'!$C$2:$C$913,SLR_Covidence_Data_Extraction__66_files[[#This Row],[Study ID_1]],'Coded Segments'!$D$2:$D$913,SLR_Covidence_Data_Extraction__66_files[[#Headers],[Literacy (LIT) &gt; LIT_Low ]])</f>
        <v>2</v>
      </c>
      <c r="AY47" s="37">
        <f>+COUNTIFS('Coded Segments'!$C$2:$C$913,SLR_Covidence_Data_Extraction__66_files[[#This Row],[Study ID_1]],'Coded Segments'!$D$2:$D$913,SLR_Covidence_Data_Extraction__66_files[[#Headers],[Literacy (LIT) &gt; LIT_High]])</f>
        <v>0</v>
      </c>
    </row>
    <row r="48" spans="1:51" x14ac:dyDescent="0.25">
      <c r="A48" s="37">
        <v>56</v>
      </c>
      <c r="B48" s="37" t="s">
        <v>316</v>
      </c>
      <c r="C48" s="37" t="s">
        <v>314</v>
      </c>
      <c r="D48" s="37" t="s">
        <v>315</v>
      </c>
      <c r="E48" s="37" t="s">
        <v>317</v>
      </c>
      <c r="F48" s="37" t="s">
        <v>318</v>
      </c>
      <c r="G48" s="37" t="s">
        <v>70</v>
      </c>
      <c r="H48" s="39" t="s">
        <v>828</v>
      </c>
      <c r="I48" s="39" t="str">
        <f>LEFT(SLR_Covidence_Data_Extraction__66_files[[#This Row],[Publication date]],4)</f>
        <v>2025</v>
      </c>
      <c r="J48" s="37" t="s">
        <v>70</v>
      </c>
      <c r="K48" s="37" t="s">
        <v>319</v>
      </c>
      <c r="N48" s="37" t="s">
        <v>1480</v>
      </c>
      <c r="P48" s="37" t="s">
        <v>190</v>
      </c>
      <c r="Q48" s="37" t="s">
        <v>320</v>
      </c>
      <c r="R48" s="37">
        <v>27</v>
      </c>
      <c r="S48" s="37" t="s">
        <v>26</v>
      </c>
      <c r="T48" s="37" t="s">
        <v>26</v>
      </c>
      <c r="U48" s="37" t="s">
        <v>321</v>
      </c>
      <c r="V48" s="37" t="s">
        <v>32</v>
      </c>
      <c r="X48" s="37" t="s">
        <v>26</v>
      </c>
      <c r="Y48" s="37" t="s">
        <v>1471</v>
      </c>
      <c r="Z48" s="37" t="s">
        <v>136</v>
      </c>
      <c r="AA48" s="37" t="s">
        <v>1468</v>
      </c>
      <c r="AB48" s="38">
        <v>10</v>
      </c>
      <c r="AC48" s="37" t="s">
        <v>48</v>
      </c>
      <c r="AD48" s="37" t="s">
        <v>322</v>
      </c>
      <c r="AE48" s="37" t="s">
        <v>323</v>
      </c>
      <c r="AF48" s="37" t="s">
        <v>324</v>
      </c>
      <c r="AG48" s="37" t="s">
        <v>111</v>
      </c>
      <c r="AH48" s="37">
        <f>+COUNTIFS('Coded Segments'!$C$2:$C$913,SLR_Covidence_Data_Extraction__66_files[[#This Row],[Study ID_1]],'Coded Segments'!$D$2:$D$913,SLR_Covidence_Data_Extraction__66_files[[#Headers],[Adoption (AD) &gt; AD_High]])</f>
        <v>1</v>
      </c>
      <c r="AI48" s="37">
        <f>+COUNTIFS('Coded Segments'!$C$2:$C$913,SLR_Covidence_Data_Extraction__66_files[[#This Row],[Study ID_1]],'Coded Segments'!$D$2:$D$913,SLR_Covidence_Data_Extraction__66_files[[#Headers],[Adoption (AD) &gt; AD_Moderate]])</f>
        <v>0</v>
      </c>
      <c r="AJ48" s="37">
        <f>+COUNTIFS('Coded Segments'!$C$2:$C$913,SLR_Covidence_Data_Extraction__66_files[[#This Row],[Study ID_1]],'Coded Segments'!$D$2:$D$913,SLR_Covidence_Data_Extraction__66_files[[#Headers],[Adoption (AD) &gt; AD_Low]])</f>
        <v>0</v>
      </c>
      <c r="AK48" s="37">
        <f>+COUNTIFS('Coded Segments'!$C$2:$C$913,SLR_Covidence_Data_Extraction__66_files[[#This Row],[Study ID_1]],'Coded Segments'!$D$2:$D$913,SLR_Covidence_Data_Extraction__66_files[[#Headers],[Adoption (AD) &gt; AD_None]])</f>
        <v>0</v>
      </c>
      <c r="AL48" s="37">
        <f>+COUNTIFS('Coded Segments'!$C$2:$C$913,SLR_Covidence_Data_Extraction__66_files[[#This Row],[Study ID_1]],'Coded Segments'!$D$2:$D$913,SLR_Covidence_Data_Extraction__66_files[[#Headers],[Attitude (ATT) &gt; ATT_Negative]])</f>
        <v>2</v>
      </c>
      <c r="AM48" s="37">
        <f>+COUNTIFS('Coded Segments'!$C$2:$C$913,SLR_Covidence_Data_Extraction__66_files[[#This Row],[Study ID_1]],'Coded Segments'!$D$2:$D$913,SLR_Covidence_Data_Extraction__66_files[[#Headers],[Attitude (ATT) &gt; ATT_Positive]])</f>
        <v>2</v>
      </c>
      <c r="AN48" s="37">
        <f>+COUNTIFS('Coded Segments'!$C$2:$C$913,SLR_Covidence_Data_Extraction__66_files[[#This Row],[Study ID_1]],'Coded Segments'!$D$2:$D$913,SLR_Covidence_Data_Extraction__66_files[[#Headers],[Ethical Concerns (EC) &gt; EC_Bias]])</f>
        <v>0</v>
      </c>
      <c r="AO48" s="37">
        <f>+COUNTIFS('Coded Segments'!$C$2:$C$913,SLR_Covidence_Data_Extraction__66_files[[#This Row],[Study ID_1]],'Coded Segments'!$D$2:$D$913,SLR_Covidence_Data_Extraction__66_files[[#Headers],[Ethical Concerns (EC) &gt; EC_Copyright]])</f>
        <v>0</v>
      </c>
      <c r="AP48" s="37">
        <f>+COUNTIFS('Coded Segments'!$C$2:$C$913,SLR_Covidence_Data_Extraction__66_files[[#This Row],[Study ID_1]],'Coded Segments'!$D$2:$D$913,SLR_Covidence_Data_Extraction__66_files[[#Headers],[Ethical Concerns (EC) &gt; EC_Data safety &amp; confidentiality]])</f>
        <v>0</v>
      </c>
      <c r="AQ48" s="37">
        <f>+COUNTIFS('Coded Segments'!$C$2:$C$913,SLR_Covidence_Data_Extraction__66_files[[#This Row],[Study ID_1]],'Coded Segments'!$D$2:$D$913,SLR_Covidence_Data_Extraction__66_files[[#Headers],[Ethical Concerns (EC) &gt; EC_Environmental sustainability]])</f>
        <v>0</v>
      </c>
      <c r="AR48" s="37">
        <f>+COUNTIFS('Coded Segments'!$C$2:$C$913,SLR_Covidence_Data_Extraction__66_files[[#This Row],[Study ID_1]],'Coded Segments'!$D$2:$D$913,SLR_Covidence_Data_Extraction__66_files[[#Headers],[Ethical Concerns (EC) &gt; EC_Payment]])</f>
        <v>1</v>
      </c>
      <c r="AS48" s="37">
        <f>+COUNTIFS('Coded Segments'!$C$2:$C$912,SLR_Covidence_Data_Extraction__66_files[[#This Row],[Study ID_1]],'Coded Segments'!$D$2:$D$912,SLR_Covidence_Data_Extraction__66_files[[#Headers],[Ethical Concerns (EC) &gt; EC_Quality]])</f>
        <v>4</v>
      </c>
      <c r="AT48" s="37">
        <f>+COUNTIFS('Coded Segments'!$C$2:$C$913,SLR_Covidence_Data_Extraction__66_files[[#This Row],[Study ID_1]],'Coded Segments'!$D$2:$D$913,SLR_Covidence_Data_Extraction__66_files[[#Headers],[Ethical Concerns (EC) &gt; EC_Translators’ role &amp; status]])</f>
        <v>2</v>
      </c>
      <c r="AU48" s="37">
        <f>+COUNTIFS('Coded Segments'!$C$2:$C$913,SLR_Covidence_Data_Extraction__66_files[[#This Row],[Study ID_1]],'Coded Segments'!$D$2:$D$913,SLR_Covidence_Data_Extraction__66_files[[#Headers],[Ethical Concerns (EC) &gt; EC_Other]])</f>
        <v>1</v>
      </c>
      <c r="AV48" s="37">
        <f>+COUNTIFS('Coded Segments'!$C$2:$C$913,SLR_Covidence_Data_Extraction__66_files[[#This Row],[Study ID_1]],'Coded Segments'!$D$2:$D$913,SLR_Covidence_Data_Extraction__66_files[[#Headers],[Literacy (LIT) &gt; LIT_Generic]])</f>
        <v>1</v>
      </c>
      <c r="AW48" s="37">
        <f>+COUNTIFS('Coded Segments'!$C$2:$C$913,SLR_Covidence_Data_Extraction__66_files[[#This Row],[Study ID_1]],'Coded Segments'!$D$2:$D$913,SLR_Covidence_Data_Extraction__66_files[[#Headers],[Literacy (LIT) &gt; LIT_None ]])</f>
        <v>0</v>
      </c>
      <c r="AX48" s="37">
        <f>+COUNTIFS('Coded Segments'!$C$2:$C$913,SLR_Covidence_Data_Extraction__66_files[[#This Row],[Study ID_1]],'Coded Segments'!$D$2:$D$913,SLR_Covidence_Data_Extraction__66_files[[#Headers],[Literacy (LIT) &gt; LIT_Low ]])</f>
        <v>0</v>
      </c>
      <c r="AY48" s="37">
        <f>+COUNTIFS('Coded Segments'!$C$2:$C$913,SLR_Covidence_Data_Extraction__66_files[[#This Row],[Study ID_1]],'Coded Segments'!$D$2:$D$913,SLR_Covidence_Data_Extraction__66_files[[#Headers],[Literacy (LIT) &gt; LIT_High]])</f>
        <v>0</v>
      </c>
    </row>
    <row r="49" spans="1:51" x14ac:dyDescent="0.25">
      <c r="A49" s="37">
        <v>68</v>
      </c>
      <c r="B49" s="37" t="s">
        <v>224</v>
      </c>
      <c r="C49" s="37" t="s">
        <v>222</v>
      </c>
      <c r="D49" s="37" t="s">
        <v>223</v>
      </c>
      <c r="E49" s="37" t="s">
        <v>225</v>
      </c>
      <c r="F49" s="37" t="s">
        <v>226</v>
      </c>
      <c r="G49" s="37" t="s">
        <v>227</v>
      </c>
      <c r="H49" s="39" t="s">
        <v>828</v>
      </c>
      <c r="I49" s="39" t="str">
        <f>LEFT(SLR_Covidence_Data_Extraction__66_files[[#This Row],[Publication date]],4)</f>
        <v>2025</v>
      </c>
      <c r="J49" s="37" t="s">
        <v>227</v>
      </c>
      <c r="K49" s="37" t="s">
        <v>829</v>
      </c>
      <c r="N49" s="37" t="s">
        <v>1480</v>
      </c>
      <c r="P49" s="37" t="s">
        <v>26</v>
      </c>
      <c r="Q49" s="37" t="s">
        <v>26</v>
      </c>
      <c r="S49" s="37" t="s">
        <v>186</v>
      </c>
      <c r="T49" s="37" t="s">
        <v>186</v>
      </c>
      <c r="U49" s="37" t="s">
        <v>228</v>
      </c>
      <c r="W49" s="37" t="s">
        <v>148</v>
      </c>
      <c r="X49" s="37" t="s">
        <v>26</v>
      </c>
      <c r="Y49" s="37" t="s">
        <v>1472</v>
      </c>
      <c r="Z49" s="37" t="s">
        <v>136</v>
      </c>
      <c r="AA49" s="37" t="s">
        <v>1463</v>
      </c>
      <c r="AB49" s="38">
        <v>30</v>
      </c>
      <c r="AC49" s="37" t="s">
        <v>229</v>
      </c>
      <c r="AD49" s="37" t="s">
        <v>830</v>
      </c>
      <c r="AE49" s="37" t="s">
        <v>831</v>
      </c>
      <c r="AF49" s="37" t="s">
        <v>832</v>
      </c>
      <c r="AG49" s="37" t="s">
        <v>38</v>
      </c>
      <c r="AH49" s="37">
        <f>+COUNTIFS('Coded Segments'!$C$2:$C$913,SLR_Covidence_Data_Extraction__66_files[[#This Row],[Study ID_1]],'Coded Segments'!$D$2:$D$913,SLR_Covidence_Data_Extraction__66_files[[#Headers],[Adoption (AD) &gt; AD_High]])</f>
        <v>0</v>
      </c>
      <c r="AI49" s="37">
        <f>+COUNTIFS('Coded Segments'!$C$2:$C$913,SLR_Covidence_Data_Extraction__66_files[[#This Row],[Study ID_1]],'Coded Segments'!$D$2:$D$913,SLR_Covidence_Data_Extraction__66_files[[#Headers],[Adoption (AD) &gt; AD_Moderate]])</f>
        <v>0</v>
      </c>
      <c r="AJ49" s="37">
        <f>+COUNTIFS('Coded Segments'!$C$2:$C$913,SLR_Covidence_Data_Extraction__66_files[[#This Row],[Study ID_1]],'Coded Segments'!$D$2:$D$913,SLR_Covidence_Data_Extraction__66_files[[#Headers],[Adoption (AD) &gt; AD_Low]])</f>
        <v>0</v>
      </c>
      <c r="AK49" s="37">
        <f>+COUNTIFS('Coded Segments'!$C$2:$C$913,SLR_Covidence_Data_Extraction__66_files[[#This Row],[Study ID_1]],'Coded Segments'!$D$2:$D$913,SLR_Covidence_Data_Extraction__66_files[[#Headers],[Adoption (AD) &gt; AD_None]])</f>
        <v>0</v>
      </c>
      <c r="AL49" s="37">
        <f>+COUNTIFS('Coded Segments'!$C$2:$C$913,SLR_Covidence_Data_Extraction__66_files[[#This Row],[Study ID_1]],'Coded Segments'!$D$2:$D$913,SLR_Covidence_Data_Extraction__66_files[[#Headers],[Attitude (ATT) &gt; ATT_Negative]])</f>
        <v>3</v>
      </c>
      <c r="AM49" s="37">
        <f>+COUNTIFS('Coded Segments'!$C$2:$C$913,SLR_Covidence_Data_Extraction__66_files[[#This Row],[Study ID_1]],'Coded Segments'!$D$2:$D$913,SLR_Covidence_Data_Extraction__66_files[[#Headers],[Attitude (ATT) &gt; ATT_Positive]])</f>
        <v>2</v>
      </c>
      <c r="AN49" s="37">
        <f>+COUNTIFS('Coded Segments'!$C$2:$C$913,SLR_Covidence_Data_Extraction__66_files[[#This Row],[Study ID_1]],'Coded Segments'!$D$2:$D$913,SLR_Covidence_Data_Extraction__66_files[[#Headers],[Ethical Concerns (EC) &gt; EC_Bias]])</f>
        <v>2</v>
      </c>
      <c r="AO49" s="37">
        <f>+COUNTIFS('Coded Segments'!$C$2:$C$913,SLR_Covidence_Data_Extraction__66_files[[#This Row],[Study ID_1]],'Coded Segments'!$D$2:$D$913,SLR_Covidence_Data_Extraction__66_files[[#Headers],[Ethical Concerns (EC) &gt; EC_Copyright]])</f>
        <v>0</v>
      </c>
      <c r="AP49" s="37">
        <f>+COUNTIFS('Coded Segments'!$C$2:$C$913,SLR_Covidence_Data_Extraction__66_files[[#This Row],[Study ID_1]],'Coded Segments'!$D$2:$D$913,SLR_Covidence_Data_Extraction__66_files[[#Headers],[Ethical Concerns (EC) &gt; EC_Data safety &amp; confidentiality]])</f>
        <v>1</v>
      </c>
      <c r="AQ49" s="37">
        <f>+COUNTIFS('Coded Segments'!$C$2:$C$913,SLR_Covidence_Data_Extraction__66_files[[#This Row],[Study ID_1]],'Coded Segments'!$D$2:$D$913,SLR_Covidence_Data_Extraction__66_files[[#Headers],[Ethical Concerns (EC) &gt; EC_Environmental sustainability]])</f>
        <v>0</v>
      </c>
      <c r="AR49" s="37">
        <f>+COUNTIFS('Coded Segments'!$C$2:$C$913,SLR_Covidence_Data_Extraction__66_files[[#This Row],[Study ID_1]],'Coded Segments'!$D$2:$D$913,SLR_Covidence_Data_Extraction__66_files[[#Headers],[Ethical Concerns (EC) &gt; EC_Payment]])</f>
        <v>0</v>
      </c>
      <c r="AS49" s="37">
        <f>+COUNTIFS('Coded Segments'!$C$2:$C$912,SLR_Covidence_Data_Extraction__66_files[[#This Row],[Study ID_1]],'Coded Segments'!$D$2:$D$912,SLR_Covidence_Data_Extraction__66_files[[#Headers],[Ethical Concerns (EC) &gt; EC_Quality]])</f>
        <v>8</v>
      </c>
      <c r="AT49" s="37">
        <f>+COUNTIFS('Coded Segments'!$C$2:$C$913,SLR_Covidence_Data_Extraction__66_files[[#This Row],[Study ID_1]],'Coded Segments'!$D$2:$D$913,SLR_Covidence_Data_Extraction__66_files[[#Headers],[Ethical Concerns (EC) &gt; EC_Translators’ role &amp; status]])</f>
        <v>9</v>
      </c>
      <c r="AU49" s="37">
        <f>+COUNTIFS('Coded Segments'!$C$2:$C$913,SLR_Covidence_Data_Extraction__66_files[[#This Row],[Study ID_1]],'Coded Segments'!$D$2:$D$913,SLR_Covidence_Data_Extraction__66_files[[#Headers],[Ethical Concerns (EC) &gt; EC_Other]])</f>
        <v>1</v>
      </c>
      <c r="AV49" s="37">
        <f>+COUNTIFS('Coded Segments'!$C$2:$C$913,SLR_Covidence_Data_Extraction__66_files[[#This Row],[Study ID_1]],'Coded Segments'!$D$2:$D$913,SLR_Covidence_Data_Extraction__66_files[[#Headers],[Literacy (LIT) &gt; LIT_Generic]])</f>
        <v>2</v>
      </c>
      <c r="AW49" s="37">
        <f>+COUNTIFS('Coded Segments'!$C$2:$C$913,SLR_Covidence_Data_Extraction__66_files[[#This Row],[Study ID_1]],'Coded Segments'!$D$2:$D$913,SLR_Covidence_Data_Extraction__66_files[[#Headers],[Literacy (LIT) &gt; LIT_None ]])</f>
        <v>0</v>
      </c>
      <c r="AX49" s="37">
        <f>+COUNTIFS('Coded Segments'!$C$2:$C$913,SLR_Covidence_Data_Extraction__66_files[[#This Row],[Study ID_1]],'Coded Segments'!$D$2:$D$913,SLR_Covidence_Data_Extraction__66_files[[#Headers],[Literacy (LIT) &gt; LIT_Low ]])</f>
        <v>1</v>
      </c>
      <c r="AY49" s="37">
        <f>+COUNTIFS('Coded Segments'!$C$2:$C$913,SLR_Covidence_Data_Extraction__66_files[[#This Row],[Study ID_1]],'Coded Segments'!$D$2:$D$913,SLR_Covidence_Data_Extraction__66_files[[#Headers],[Literacy (LIT) &gt; LIT_High]])</f>
        <v>0</v>
      </c>
    </row>
    <row r="50" spans="1:51" x14ac:dyDescent="0.25">
      <c r="A50" s="37">
        <v>52</v>
      </c>
      <c r="B50" s="37" t="s">
        <v>361</v>
      </c>
      <c r="C50" s="37" t="s">
        <v>360</v>
      </c>
      <c r="D50" s="37" t="s">
        <v>362</v>
      </c>
      <c r="E50" s="37" t="s">
        <v>363</v>
      </c>
      <c r="F50" s="37" t="s">
        <v>364</v>
      </c>
      <c r="G50" s="37" t="s">
        <v>187</v>
      </c>
      <c r="H50" s="39" t="s">
        <v>849</v>
      </c>
      <c r="I50" s="39" t="str">
        <f>LEFT(SLR_Covidence_Data_Extraction__66_files[[#This Row],[Publication date]],4)</f>
        <v>2025</v>
      </c>
      <c r="J50" s="37" t="s">
        <v>187</v>
      </c>
      <c r="K50" s="37" t="s">
        <v>365</v>
      </c>
      <c r="O50" s="37" t="s">
        <v>911</v>
      </c>
      <c r="P50" s="37" t="s">
        <v>28</v>
      </c>
      <c r="Q50" s="37" t="s">
        <v>28</v>
      </c>
      <c r="R50" s="37">
        <v>36</v>
      </c>
      <c r="S50" s="37" t="s">
        <v>366</v>
      </c>
      <c r="T50" s="37" t="s">
        <v>367</v>
      </c>
      <c r="U50" s="37" t="s">
        <v>51</v>
      </c>
      <c r="V50" s="37" t="s">
        <v>32</v>
      </c>
      <c r="X50" s="37" t="s">
        <v>26</v>
      </c>
      <c r="Y50" s="37" t="s">
        <v>368</v>
      </c>
      <c r="Z50" s="37" t="s">
        <v>136</v>
      </c>
      <c r="AA50" s="37" t="s">
        <v>1463</v>
      </c>
      <c r="AB50" s="38">
        <v>252</v>
      </c>
      <c r="AC50" s="37" t="s">
        <v>850</v>
      </c>
      <c r="AD50" s="37" t="s">
        <v>369</v>
      </c>
      <c r="AE50" s="37" t="s">
        <v>370</v>
      </c>
      <c r="AF50" s="37" t="s">
        <v>371</v>
      </c>
      <c r="AG50" s="37" t="s">
        <v>111</v>
      </c>
      <c r="AH50" s="37">
        <f>+COUNTIFS('Coded Segments'!$C$2:$C$913,SLR_Covidence_Data_Extraction__66_files[[#This Row],[Study ID_1]],'Coded Segments'!$D$2:$D$913,SLR_Covidence_Data_Extraction__66_files[[#Headers],[Adoption (AD) &gt; AD_High]])</f>
        <v>0</v>
      </c>
      <c r="AI50" s="37">
        <f>+COUNTIFS('Coded Segments'!$C$2:$C$913,SLR_Covidence_Data_Extraction__66_files[[#This Row],[Study ID_1]],'Coded Segments'!$D$2:$D$913,SLR_Covidence_Data_Extraction__66_files[[#Headers],[Adoption (AD) &gt; AD_Moderate]])</f>
        <v>1</v>
      </c>
      <c r="AJ50" s="37">
        <f>+COUNTIFS('Coded Segments'!$C$2:$C$913,SLR_Covidence_Data_Extraction__66_files[[#This Row],[Study ID_1]],'Coded Segments'!$D$2:$D$913,SLR_Covidence_Data_Extraction__66_files[[#Headers],[Adoption (AD) &gt; AD_Low]])</f>
        <v>0</v>
      </c>
      <c r="AK50" s="37">
        <f>+COUNTIFS('Coded Segments'!$C$2:$C$913,SLR_Covidence_Data_Extraction__66_files[[#This Row],[Study ID_1]],'Coded Segments'!$D$2:$D$913,SLR_Covidence_Data_Extraction__66_files[[#Headers],[Adoption (AD) &gt; AD_None]])</f>
        <v>0</v>
      </c>
      <c r="AL50" s="37">
        <f>+COUNTIFS('Coded Segments'!$C$2:$C$913,SLR_Covidence_Data_Extraction__66_files[[#This Row],[Study ID_1]],'Coded Segments'!$D$2:$D$913,SLR_Covidence_Data_Extraction__66_files[[#Headers],[Attitude (ATT) &gt; ATT_Negative]])</f>
        <v>11</v>
      </c>
      <c r="AM50" s="37">
        <f>+COUNTIFS('Coded Segments'!$C$2:$C$913,SLR_Covidence_Data_Extraction__66_files[[#This Row],[Study ID_1]],'Coded Segments'!$D$2:$D$913,SLR_Covidence_Data_Extraction__66_files[[#Headers],[Attitude (ATT) &gt; ATT_Positive]])</f>
        <v>0</v>
      </c>
      <c r="AN50" s="37">
        <f>+COUNTIFS('Coded Segments'!$C$2:$C$913,SLR_Covidence_Data_Extraction__66_files[[#This Row],[Study ID_1]],'Coded Segments'!$D$2:$D$913,SLR_Covidence_Data_Extraction__66_files[[#Headers],[Ethical Concerns (EC) &gt; EC_Bias]])</f>
        <v>2</v>
      </c>
      <c r="AO50" s="37">
        <f>+COUNTIFS('Coded Segments'!$C$2:$C$913,SLR_Covidence_Data_Extraction__66_files[[#This Row],[Study ID_1]],'Coded Segments'!$D$2:$D$913,SLR_Covidence_Data_Extraction__66_files[[#Headers],[Ethical Concerns (EC) &gt; EC_Copyright]])</f>
        <v>0</v>
      </c>
      <c r="AP50" s="37">
        <f>+COUNTIFS('Coded Segments'!$C$2:$C$913,SLR_Covidence_Data_Extraction__66_files[[#This Row],[Study ID_1]],'Coded Segments'!$D$2:$D$913,SLR_Covidence_Data_Extraction__66_files[[#Headers],[Ethical Concerns (EC) &gt; EC_Data safety &amp; confidentiality]])</f>
        <v>3</v>
      </c>
      <c r="AQ50" s="37">
        <f>+COUNTIFS('Coded Segments'!$C$2:$C$913,SLR_Covidence_Data_Extraction__66_files[[#This Row],[Study ID_1]],'Coded Segments'!$D$2:$D$913,SLR_Covidence_Data_Extraction__66_files[[#Headers],[Ethical Concerns (EC) &gt; EC_Environmental sustainability]])</f>
        <v>0</v>
      </c>
      <c r="AR50" s="37">
        <f>+COUNTIFS('Coded Segments'!$C$2:$C$913,SLR_Covidence_Data_Extraction__66_files[[#This Row],[Study ID_1]],'Coded Segments'!$D$2:$D$913,SLR_Covidence_Data_Extraction__66_files[[#Headers],[Ethical Concerns (EC) &gt; EC_Payment]])</f>
        <v>2</v>
      </c>
      <c r="AS50" s="37">
        <f>+COUNTIFS('Coded Segments'!$C$2:$C$912,SLR_Covidence_Data_Extraction__66_files[[#This Row],[Study ID_1]],'Coded Segments'!$D$2:$D$912,SLR_Covidence_Data_Extraction__66_files[[#Headers],[Ethical Concerns (EC) &gt; EC_Quality]])</f>
        <v>4</v>
      </c>
      <c r="AT50" s="37">
        <f>+COUNTIFS('Coded Segments'!$C$2:$C$913,SLR_Covidence_Data_Extraction__66_files[[#This Row],[Study ID_1]],'Coded Segments'!$D$2:$D$913,SLR_Covidence_Data_Extraction__66_files[[#Headers],[Ethical Concerns (EC) &gt; EC_Translators’ role &amp; status]])</f>
        <v>3</v>
      </c>
      <c r="AU50" s="37">
        <f>+COUNTIFS('Coded Segments'!$C$2:$C$913,SLR_Covidence_Data_Extraction__66_files[[#This Row],[Study ID_1]],'Coded Segments'!$D$2:$D$913,SLR_Covidence_Data_Extraction__66_files[[#Headers],[Ethical Concerns (EC) &gt; EC_Other]])</f>
        <v>0</v>
      </c>
      <c r="AV50" s="37">
        <f>+COUNTIFS('Coded Segments'!$C$2:$C$913,SLR_Covidence_Data_Extraction__66_files[[#This Row],[Study ID_1]],'Coded Segments'!$D$2:$D$913,SLR_Covidence_Data_Extraction__66_files[[#Headers],[Literacy (LIT) &gt; LIT_Generic]])</f>
        <v>0</v>
      </c>
      <c r="AW50" s="37">
        <f>+COUNTIFS('Coded Segments'!$C$2:$C$913,SLR_Covidence_Data_Extraction__66_files[[#This Row],[Study ID_1]],'Coded Segments'!$D$2:$D$913,SLR_Covidence_Data_Extraction__66_files[[#Headers],[Literacy (LIT) &gt; LIT_None ]])</f>
        <v>0</v>
      </c>
      <c r="AX50" s="37">
        <f>+COUNTIFS('Coded Segments'!$C$2:$C$913,SLR_Covidence_Data_Extraction__66_files[[#This Row],[Study ID_1]],'Coded Segments'!$D$2:$D$913,SLR_Covidence_Data_Extraction__66_files[[#Headers],[Literacy (LIT) &gt; LIT_Low ]])</f>
        <v>1</v>
      </c>
      <c r="AY50" s="37">
        <f>+COUNTIFS('Coded Segments'!$C$2:$C$913,SLR_Covidence_Data_Extraction__66_files[[#This Row],[Study ID_1]],'Coded Segments'!$D$2:$D$913,SLR_Covidence_Data_Extraction__66_files[[#Headers],[Literacy (LIT) &gt; LIT_High]])</f>
        <v>0</v>
      </c>
    </row>
    <row r="51" spans="1:51" x14ac:dyDescent="0.25">
      <c r="A51" s="37">
        <v>53</v>
      </c>
      <c r="B51" s="37" t="s">
        <v>351</v>
      </c>
      <c r="C51" s="37" t="s">
        <v>350</v>
      </c>
      <c r="D51" s="37" t="s">
        <v>352</v>
      </c>
      <c r="E51" s="37" t="s">
        <v>353</v>
      </c>
      <c r="F51" s="37" t="s">
        <v>354</v>
      </c>
      <c r="G51" s="37" t="s">
        <v>44</v>
      </c>
      <c r="H51" s="39" t="s">
        <v>847</v>
      </c>
      <c r="I51" s="39" t="str">
        <f>LEFT(SLR_Covidence_Data_Extraction__66_files[[#This Row],[Publication date]],4)</f>
        <v>2025</v>
      </c>
      <c r="J51" s="37" t="s">
        <v>44</v>
      </c>
      <c r="K51" s="37" t="s">
        <v>355</v>
      </c>
      <c r="L51" s="37" t="s">
        <v>1478</v>
      </c>
      <c r="P51" s="37" t="s">
        <v>28</v>
      </c>
      <c r="Q51" s="37" t="s">
        <v>28</v>
      </c>
      <c r="R51" s="37">
        <v>129</v>
      </c>
      <c r="S51" s="37" t="s">
        <v>26</v>
      </c>
      <c r="T51" s="37" t="s">
        <v>26</v>
      </c>
      <c r="U51" s="37" t="s">
        <v>26</v>
      </c>
      <c r="V51" s="37" t="s">
        <v>32</v>
      </c>
      <c r="X51" s="37" t="s">
        <v>26</v>
      </c>
      <c r="Y51" s="37" t="s">
        <v>136</v>
      </c>
      <c r="Z51" s="37" t="s">
        <v>136</v>
      </c>
      <c r="AA51" s="37" t="s">
        <v>1463</v>
      </c>
      <c r="AB51" s="38">
        <v>229</v>
      </c>
      <c r="AC51" s="37" t="s">
        <v>848</v>
      </c>
      <c r="AD51" s="37" t="s">
        <v>356</v>
      </c>
      <c r="AE51" s="37" t="s">
        <v>357</v>
      </c>
      <c r="AF51" s="37" t="s">
        <v>358</v>
      </c>
      <c r="AG51" s="37" t="s">
        <v>359</v>
      </c>
      <c r="AH51" s="37">
        <f>+COUNTIFS('Coded Segments'!$C$2:$C$913,SLR_Covidence_Data_Extraction__66_files[[#This Row],[Study ID_1]],'Coded Segments'!$D$2:$D$913,SLR_Covidence_Data_Extraction__66_files[[#Headers],[Adoption (AD) &gt; AD_High]])</f>
        <v>4</v>
      </c>
      <c r="AI51" s="37">
        <f>+COUNTIFS('Coded Segments'!$C$2:$C$913,SLR_Covidence_Data_Extraction__66_files[[#This Row],[Study ID_1]],'Coded Segments'!$D$2:$D$913,SLR_Covidence_Data_Extraction__66_files[[#Headers],[Adoption (AD) &gt; AD_Moderate]])</f>
        <v>0</v>
      </c>
      <c r="AJ51" s="37">
        <f>+COUNTIFS('Coded Segments'!$C$2:$C$913,SLR_Covidence_Data_Extraction__66_files[[#This Row],[Study ID_1]],'Coded Segments'!$D$2:$D$913,SLR_Covidence_Data_Extraction__66_files[[#Headers],[Adoption (AD) &gt; AD_Low]])</f>
        <v>0</v>
      </c>
      <c r="AK51" s="37">
        <f>+COUNTIFS('Coded Segments'!$C$2:$C$913,SLR_Covidence_Data_Extraction__66_files[[#This Row],[Study ID_1]],'Coded Segments'!$D$2:$D$913,SLR_Covidence_Data_Extraction__66_files[[#Headers],[Adoption (AD) &gt; AD_None]])</f>
        <v>1</v>
      </c>
      <c r="AL51" s="37">
        <f>+COUNTIFS('Coded Segments'!$C$2:$C$913,SLR_Covidence_Data_Extraction__66_files[[#This Row],[Study ID_1]],'Coded Segments'!$D$2:$D$913,SLR_Covidence_Data_Extraction__66_files[[#Headers],[Attitude (ATT) &gt; ATT_Negative]])</f>
        <v>0</v>
      </c>
      <c r="AM51" s="37">
        <f>+COUNTIFS('Coded Segments'!$C$2:$C$913,SLR_Covidence_Data_Extraction__66_files[[#This Row],[Study ID_1]],'Coded Segments'!$D$2:$D$913,SLR_Covidence_Data_Extraction__66_files[[#Headers],[Attitude (ATT) &gt; ATT_Positive]])</f>
        <v>0</v>
      </c>
      <c r="AN51" s="37">
        <f>+COUNTIFS('Coded Segments'!$C$2:$C$913,SLR_Covidence_Data_Extraction__66_files[[#This Row],[Study ID_1]],'Coded Segments'!$D$2:$D$913,SLR_Covidence_Data_Extraction__66_files[[#Headers],[Ethical Concerns (EC) &gt; EC_Bias]])</f>
        <v>0</v>
      </c>
      <c r="AO51" s="37">
        <f>+COUNTIFS('Coded Segments'!$C$2:$C$913,SLR_Covidence_Data_Extraction__66_files[[#This Row],[Study ID_1]],'Coded Segments'!$D$2:$D$913,SLR_Covidence_Data_Extraction__66_files[[#Headers],[Ethical Concerns (EC) &gt; EC_Copyright]])</f>
        <v>0</v>
      </c>
      <c r="AP51" s="37">
        <f>+COUNTIFS('Coded Segments'!$C$2:$C$913,SLR_Covidence_Data_Extraction__66_files[[#This Row],[Study ID_1]],'Coded Segments'!$D$2:$D$913,SLR_Covidence_Data_Extraction__66_files[[#Headers],[Ethical Concerns (EC) &gt; EC_Data safety &amp; confidentiality]])</f>
        <v>1</v>
      </c>
      <c r="AQ51" s="37">
        <f>+COUNTIFS('Coded Segments'!$C$2:$C$913,SLR_Covidence_Data_Extraction__66_files[[#This Row],[Study ID_1]],'Coded Segments'!$D$2:$D$913,SLR_Covidence_Data_Extraction__66_files[[#Headers],[Ethical Concerns (EC) &gt; EC_Environmental sustainability]])</f>
        <v>0</v>
      </c>
      <c r="AR51" s="37">
        <f>+COUNTIFS('Coded Segments'!$C$2:$C$913,SLR_Covidence_Data_Extraction__66_files[[#This Row],[Study ID_1]],'Coded Segments'!$D$2:$D$913,SLR_Covidence_Data_Extraction__66_files[[#Headers],[Ethical Concerns (EC) &gt; EC_Payment]])</f>
        <v>0</v>
      </c>
      <c r="AS51" s="37">
        <f>+COUNTIFS('Coded Segments'!$C$2:$C$912,SLR_Covidence_Data_Extraction__66_files[[#This Row],[Study ID_1]],'Coded Segments'!$D$2:$D$912,SLR_Covidence_Data_Extraction__66_files[[#Headers],[Ethical Concerns (EC) &gt; EC_Quality]])</f>
        <v>1</v>
      </c>
      <c r="AT51" s="37">
        <f>+COUNTIFS('Coded Segments'!$C$2:$C$913,SLR_Covidence_Data_Extraction__66_files[[#This Row],[Study ID_1]],'Coded Segments'!$D$2:$D$913,SLR_Covidence_Data_Extraction__66_files[[#Headers],[Ethical Concerns (EC) &gt; EC_Translators’ role &amp; status]])</f>
        <v>0</v>
      </c>
      <c r="AU51" s="37">
        <f>+COUNTIFS('Coded Segments'!$C$2:$C$913,SLR_Covidence_Data_Extraction__66_files[[#This Row],[Study ID_1]],'Coded Segments'!$D$2:$D$913,SLR_Covidence_Data_Extraction__66_files[[#Headers],[Ethical Concerns (EC) &gt; EC_Other]])</f>
        <v>0</v>
      </c>
      <c r="AV51" s="37">
        <f>+COUNTIFS('Coded Segments'!$C$2:$C$913,SLR_Covidence_Data_Extraction__66_files[[#This Row],[Study ID_1]],'Coded Segments'!$D$2:$D$913,SLR_Covidence_Data_Extraction__66_files[[#Headers],[Literacy (LIT) &gt; LIT_Generic]])</f>
        <v>0</v>
      </c>
      <c r="AW51" s="37">
        <f>+COUNTIFS('Coded Segments'!$C$2:$C$913,SLR_Covidence_Data_Extraction__66_files[[#This Row],[Study ID_1]],'Coded Segments'!$D$2:$D$913,SLR_Covidence_Data_Extraction__66_files[[#Headers],[Literacy (LIT) &gt; LIT_None ]])</f>
        <v>1</v>
      </c>
      <c r="AX51" s="37">
        <f>+COUNTIFS('Coded Segments'!$C$2:$C$913,SLR_Covidence_Data_Extraction__66_files[[#This Row],[Study ID_1]],'Coded Segments'!$D$2:$D$913,SLR_Covidence_Data_Extraction__66_files[[#Headers],[Literacy (LIT) &gt; LIT_Low ]])</f>
        <v>1</v>
      </c>
      <c r="AY51" s="37">
        <f>+COUNTIFS('Coded Segments'!$C$2:$C$913,SLR_Covidence_Data_Extraction__66_files[[#This Row],[Study ID_1]],'Coded Segments'!$D$2:$D$913,SLR_Covidence_Data_Extraction__66_files[[#Headers],[Literacy (LIT) &gt; LIT_High]])</f>
        <v>2</v>
      </c>
    </row>
    <row r="52" spans="1:51" x14ac:dyDescent="0.25">
      <c r="A52" s="37">
        <v>70</v>
      </c>
      <c r="B52" s="37" t="s">
        <v>199</v>
      </c>
      <c r="C52" s="37" t="s">
        <v>197</v>
      </c>
      <c r="D52" s="37" t="s">
        <v>198</v>
      </c>
      <c r="E52" s="37" t="s">
        <v>200</v>
      </c>
      <c r="F52" s="37" t="s">
        <v>201</v>
      </c>
      <c r="G52" s="37" t="s">
        <v>780</v>
      </c>
      <c r="H52" s="39" t="s">
        <v>825</v>
      </c>
      <c r="I52" s="39" t="str">
        <f>LEFT(SLR_Covidence_Data_Extraction__66_files[[#This Row],[Publication date]],4)</f>
        <v>2025</v>
      </c>
      <c r="J52" s="37" t="s">
        <v>780</v>
      </c>
      <c r="K52" s="37" t="s">
        <v>202</v>
      </c>
      <c r="N52" s="37" t="s">
        <v>1480</v>
      </c>
      <c r="P52" s="37" t="s">
        <v>26</v>
      </c>
      <c r="Q52" s="37" t="s">
        <v>26</v>
      </c>
      <c r="S52" s="37" t="s">
        <v>203</v>
      </c>
      <c r="T52" s="37" t="s">
        <v>203</v>
      </c>
      <c r="U52" s="37" t="s">
        <v>204</v>
      </c>
      <c r="V52" s="37" t="s">
        <v>32</v>
      </c>
      <c r="X52" s="37" t="s">
        <v>26</v>
      </c>
      <c r="Y52" s="37" t="s">
        <v>205</v>
      </c>
      <c r="Z52" s="37" t="s">
        <v>136</v>
      </c>
      <c r="AA52" s="37" t="s">
        <v>1463</v>
      </c>
      <c r="AB52" s="38">
        <v>31</v>
      </c>
      <c r="AC52" s="37" t="s">
        <v>206</v>
      </c>
      <c r="AD52" s="37" t="s">
        <v>207</v>
      </c>
      <c r="AE52" s="37" t="s">
        <v>208</v>
      </c>
      <c r="AF52" s="37" t="s">
        <v>209</v>
      </c>
      <c r="AG52" s="37" t="s">
        <v>111</v>
      </c>
      <c r="AH52" s="37">
        <f>+COUNTIFS('Coded Segments'!$C$2:$C$913,SLR_Covidence_Data_Extraction__66_files[[#This Row],[Study ID_1]],'Coded Segments'!$D$2:$D$913,SLR_Covidence_Data_Extraction__66_files[[#Headers],[Adoption (AD) &gt; AD_High]])</f>
        <v>1</v>
      </c>
      <c r="AI52" s="37">
        <f>+COUNTIFS('Coded Segments'!$C$2:$C$913,SLR_Covidence_Data_Extraction__66_files[[#This Row],[Study ID_1]],'Coded Segments'!$D$2:$D$913,SLR_Covidence_Data_Extraction__66_files[[#Headers],[Adoption (AD) &gt; AD_Moderate]])</f>
        <v>0</v>
      </c>
      <c r="AJ52" s="37">
        <f>+COUNTIFS('Coded Segments'!$C$2:$C$913,SLR_Covidence_Data_Extraction__66_files[[#This Row],[Study ID_1]],'Coded Segments'!$D$2:$D$913,SLR_Covidence_Data_Extraction__66_files[[#Headers],[Adoption (AD) &gt; AD_Low]])</f>
        <v>0</v>
      </c>
      <c r="AK52" s="37">
        <f>+COUNTIFS('Coded Segments'!$C$2:$C$913,SLR_Covidence_Data_Extraction__66_files[[#This Row],[Study ID_1]],'Coded Segments'!$D$2:$D$913,SLR_Covidence_Data_Extraction__66_files[[#Headers],[Adoption (AD) &gt; AD_None]])</f>
        <v>0</v>
      </c>
      <c r="AL52" s="37">
        <f>+COUNTIFS('Coded Segments'!$C$2:$C$913,SLR_Covidence_Data_Extraction__66_files[[#This Row],[Study ID_1]],'Coded Segments'!$D$2:$D$913,SLR_Covidence_Data_Extraction__66_files[[#Headers],[Attitude (ATT) &gt; ATT_Negative]])</f>
        <v>11</v>
      </c>
      <c r="AM52" s="37">
        <f>+COUNTIFS('Coded Segments'!$C$2:$C$913,SLR_Covidence_Data_Extraction__66_files[[#This Row],[Study ID_1]],'Coded Segments'!$D$2:$D$913,SLR_Covidence_Data_Extraction__66_files[[#Headers],[Attitude (ATT) &gt; ATT_Positive]])</f>
        <v>0</v>
      </c>
      <c r="AN52" s="37">
        <f>+COUNTIFS('Coded Segments'!$C$2:$C$913,SLR_Covidence_Data_Extraction__66_files[[#This Row],[Study ID_1]],'Coded Segments'!$D$2:$D$913,SLR_Covidence_Data_Extraction__66_files[[#Headers],[Ethical Concerns (EC) &gt; EC_Bias]])</f>
        <v>0</v>
      </c>
      <c r="AO52" s="37">
        <f>+COUNTIFS('Coded Segments'!$C$2:$C$913,SLR_Covidence_Data_Extraction__66_files[[#This Row],[Study ID_1]],'Coded Segments'!$D$2:$D$913,SLR_Covidence_Data_Extraction__66_files[[#Headers],[Ethical Concerns (EC) &gt; EC_Copyright]])</f>
        <v>0</v>
      </c>
      <c r="AP52" s="37">
        <f>+COUNTIFS('Coded Segments'!$C$2:$C$913,SLR_Covidence_Data_Extraction__66_files[[#This Row],[Study ID_1]],'Coded Segments'!$D$2:$D$913,SLR_Covidence_Data_Extraction__66_files[[#Headers],[Ethical Concerns (EC) &gt; EC_Data safety &amp; confidentiality]])</f>
        <v>2</v>
      </c>
      <c r="AQ52" s="37">
        <f>+COUNTIFS('Coded Segments'!$C$2:$C$913,SLR_Covidence_Data_Extraction__66_files[[#This Row],[Study ID_1]],'Coded Segments'!$D$2:$D$913,SLR_Covidence_Data_Extraction__66_files[[#Headers],[Ethical Concerns (EC) &gt; EC_Environmental sustainability]])</f>
        <v>0</v>
      </c>
      <c r="AR52" s="37">
        <f>+COUNTIFS('Coded Segments'!$C$2:$C$913,SLR_Covidence_Data_Extraction__66_files[[#This Row],[Study ID_1]],'Coded Segments'!$D$2:$D$913,SLR_Covidence_Data_Extraction__66_files[[#Headers],[Ethical Concerns (EC) &gt; EC_Payment]])</f>
        <v>3</v>
      </c>
      <c r="AS52" s="37">
        <f>+COUNTIFS('Coded Segments'!$C$2:$C$912,SLR_Covidence_Data_Extraction__66_files[[#This Row],[Study ID_1]],'Coded Segments'!$D$2:$D$912,SLR_Covidence_Data_Extraction__66_files[[#Headers],[Ethical Concerns (EC) &gt; EC_Quality]])</f>
        <v>3</v>
      </c>
      <c r="AT52" s="37">
        <f>+COUNTIFS('Coded Segments'!$C$2:$C$913,SLR_Covidence_Data_Extraction__66_files[[#This Row],[Study ID_1]],'Coded Segments'!$D$2:$D$913,SLR_Covidence_Data_Extraction__66_files[[#Headers],[Ethical Concerns (EC) &gt; EC_Translators’ role &amp; status]])</f>
        <v>4</v>
      </c>
      <c r="AU52" s="37">
        <f>+COUNTIFS('Coded Segments'!$C$2:$C$913,SLR_Covidence_Data_Extraction__66_files[[#This Row],[Study ID_1]],'Coded Segments'!$D$2:$D$913,SLR_Covidence_Data_Extraction__66_files[[#Headers],[Ethical Concerns (EC) &gt; EC_Other]])</f>
        <v>0</v>
      </c>
      <c r="AV52" s="37">
        <f>+COUNTIFS('Coded Segments'!$C$2:$C$913,SLR_Covidence_Data_Extraction__66_files[[#This Row],[Study ID_1]],'Coded Segments'!$D$2:$D$913,SLR_Covidence_Data_Extraction__66_files[[#Headers],[Literacy (LIT) &gt; LIT_Generic]])</f>
        <v>1</v>
      </c>
      <c r="AW52" s="37">
        <f>+COUNTIFS('Coded Segments'!$C$2:$C$913,SLR_Covidence_Data_Extraction__66_files[[#This Row],[Study ID_1]],'Coded Segments'!$D$2:$D$913,SLR_Covidence_Data_Extraction__66_files[[#Headers],[Literacy (LIT) &gt; LIT_None ]])</f>
        <v>0</v>
      </c>
      <c r="AX52" s="37">
        <f>+COUNTIFS('Coded Segments'!$C$2:$C$913,SLR_Covidence_Data_Extraction__66_files[[#This Row],[Study ID_1]],'Coded Segments'!$D$2:$D$913,SLR_Covidence_Data_Extraction__66_files[[#Headers],[Literacy (LIT) &gt; LIT_Low ]])</f>
        <v>0</v>
      </c>
      <c r="AY52" s="37">
        <f>+COUNTIFS('Coded Segments'!$C$2:$C$913,SLR_Covidence_Data_Extraction__66_files[[#This Row],[Study ID_1]],'Coded Segments'!$D$2:$D$913,SLR_Covidence_Data_Extraction__66_files[[#Headers],[Literacy (LIT) &gt; LIT_High]])</f>
        <v>0</v>
      </c>
    </row>
    <row r="53" spans="1:51" x14ac:dyDescent="0.25">
      <c r="A53" s="37">
        <v>9</v>
      </c>
      <c r="B53" s="37" t="s">
        <v>693</v>
      </c>
      <c r="C53" s="37" t="s">
        <v>691</v>
      </c>
      <c r="D53" s="37" t="s">
        <v>692</v>
      </c>
      <c r="E53" s="37" t="s">
        <v>694</v>
      </c>
      <c r="F53" s="37" t="s">
        <v>695</v>
      </c>
      <c r="G53" s="37" t="s">
        <v>776</v>
      </c>
      <c r="H53" s="39" t="s">
        <v>895</v>
      </c>
      <c r="I53" s="39" t="str">
        <f>LEFT(SLR_Covidence_Data_Extraction__66_files[[#This Row],[Publication date]],4)</f>
        <v>2025</v>
      </c>
      <c r="J53" s="37" t="s">
        <v>776</v>
      </c>
      <c r="K53" s="37" t="s">
        <v>696</v>
      </c>
      <c r="L53" s="37" t="s">
        <v>1478</v>
      </c>
      <c r="N53" s="37" t="s">
        <v>1480</v>
      </c>
      <c r="P53" s="37" t="s">
        <v>26</v>
      </c>
      <c r="Q53" s="37" t="s">
        <v>26</v>
      </c>
      <c r="S53" s="37" t="s">
        <v>26</v>
      </c>
      <c r="T53" s="37" t="s">
        <v>59</v>
      </c>
      <c r="U53" s="37" t="s">
        <v>697</v>
      </c>
      <c r="V53" s="37" t="s">
        <v>32</v>
      </c>
      <c r="X53" s="37" t="s">
        <v>26</v>
      </c>
      <c r="Y53" s="37" t="s">
        <v>698</v>
      </c>
      <c r="Z53" s="37" t="s">
        <v>1561</v>
      </c>
      <c r="AA53" s="37" t="s">
        <v>1463</v>
      </c>
      <c r="AB53" s="38">
        <v>32</v>
      </c>
      <c r="AC53" s="37" t="s">
        <v>896</v>
      </c>
      <c r="AD53" s="37" t="s">
        <v>699</v>
      </c>
      <c r="AE53" s="37" t="s">
        <v>700</v>
      </c>
      <c r="AF53" s="37" t="s">
        <v>701</v>
      </c>
      <c r="AG53" s="37" t="s">
        <v>64</v>
      </c>
      <c r="AH53" s="37">
        <f>+COUNTIFS('Coded Segments'!$C$2:$C$913,SLR_Covidence_Data_Extraction__66_files[[#This Row],[Study ID_1]],'Coded Segments'!$D$2:$D$913,SLR_Covidence_Data_Extraction__66_files[[#Headers],[Adoption (AD) &gt; AD_High]])</f>
        <v>1</v>
      </c>
      <c r="AI53" s="37">
        <f>+COUNTIFS('Coded Segments'!$C$2:$C$913,SLR_Covidence_Data_Extraction__66_files[[#This Row],[Study ID_1]],'Coded Segments'!$D$2:$D$913,SLR_Covidence_Data_Extraction__66_files[[#Headers],[Adoption (AD) &gt; AD_Moderate]])</f>
        <v>0</v>
      </c>
      <c r="AJ53" s="37">
        <f>+COUNTIFS('Coded Segments'!$C$2:$C$913,SLR_Covidence_Data_Extraction__66_files[[#This Row],[Study ID_1]],'Coded Segments'!$D$2:$D$913,SLR_Covidence_Data_Extraction__66_files[[#Headers],[Adoption (AD) &gt; AD_Low]])</f>
        <v>0</v>
      </c>
      <c r="AK53" s="37">
        <f>+COUNTIFS('Coded Segments'!$C$2:$C$913,SLR_Covidence_Data_Extraction__66_files[[#This Row],[Study ID_1]],'Coded Segments'!$D$2:$D$913,SLR_Covidence_Data_Extraction__66_files[[#Headers],[Adoption (AD) &gt; AD_None]])</f>
        <v>0</v>
      </c>
      <c r="AL53" s="37">
        <f>+COUNTIFS('Coded Segments'!$C$2:$C$913,SLR_Covidence_Data_Extraction__66_files[[#This Row],[Study ID_1]],'Coded Segments'!$D$2:$D$913,SLR_Covidence_Data_Extraction__66_files[[#Headers],[Attitude (ATT) &gt; ATT_Negative]])</f>
        <v>2</v>
      </c>
      <c r="AM53" s="37">
        <f>+COUNTIFS('Coded Segments'!$C$2:$C$913,SLR_Covidence_Data_Extraction__66_files[[#This Row],[Study ID_1]],'Coded Segments'!$D$2:$D$913,SLR_Covidence_Data_Extraction__66_files[[#Headers],[Attitude (ATT) &gt; ATT_Positive]])</f>
        <v>5</v>
      </c>
      <c r="AN53" s="37">
        <f>+COUNTIFS('Coded Segments'!$C$2:$C$913,SLR_Covidence_Data_Extraction__66_files[[#This Row],[Study ID_1]],'Coded Segments'!$D$2:$D$913,SLR_Covidence_Data_Extraction__66_files[[#Headers],[Ethical Concerns (EC) &gt; EC_Bias]])</f>
        <v>0</v>
      </c>
      <c r="AO53" s="37">
        <f>+COUNTIFS('Coded Segments'!$C$2:$C$913,SLR_Covidence_Data_Extraction__66_files[[#This Row],[Study ID_1]],'Coded Segments'!$D$2:$D$913,SLR_Covidence_Data_Extraction__66_files[[#Headers],[Ethical Concerns (EC) &gt; EC_Copyright]])</f>
        <v>0</v>
      </c>
      <c r="AP53" s="37">
        <f>+COUNTIFS('Coded Segments'!$C$2:$C$913,SLR_Covidence_Data_Extraction__66_files[[#This Row],[Study ID_1]],'Coded Segments'!$D$2:$D$913,SLR_Covidence_Data_Extraction__66_files[[#Headers],[Ethical Concerns (EC) &gt; EC_Data safety &amp; confidentiality]])</f>
        <v>0</v>
      </c>
      <c r="AQ53" s="37">
        <f>+COUNTIFS('Coded Segments'!$C$2:$C$913,SLR_Covidence_Data_Extraction__66_files[[#This Row],[Study ID_1]],'Coded Segments'!$D$2:$D$913,SLR_Covidence_Data_Extraction__66_files[[#Headers],[Ethical Concerns (EC) &gt; EC_Environmental sustainability]])</f>
        <v>0</v>
      </c>
      <c r="AR53" s="37">
        <f>+COUNTIFS('Coded Segments'!$C$2:$C$913,SLR_Covidence_Data_Extraction__66_files[[#This Row],[Study ID_1]],'Coded Segments'!$D$2:$D$913,SLR_Covidence_Data_Extraction__66_files[[#Headers],[Ethical Concerns (EC) &gt; EC_Payment]])</f>
        <v>1</v>
      </c>
      <c r="AS53" s="37">
        <f>+COUNTIFS('Coded Segments'!$C$2:$C$912,SLR_Covidence_Data_Extraction__66_files[[#This Row],[Study ID_1]],'Coded Segments'!$D$2:$D$912,SLR_Covidence_Data_Extraction__66_files[[#Headers],[Ethical Concerns (EC) &gt; EC_Quality]])</f>
        <v>1</v>
      </c>
      <c r="AT53" s="37">
        <f>+COUNTIFS('Coded Segments'!$C$2:$C$913,SLR_Covidence_Data_Extraction__66_files[[#This Row],[Study ID_1]],'Coded Segments'!$D$2:$D$913,SLR_Covidence_Data_Extraction__66_files[[#Headers],[Ethical Concerns (EC) &gt; EC_Translators’ role &amp; status]])</f>
        <v>5</v>
      </c>
      <c r="AU53" s="37">
        <f>+COUNTIFS('Coded Segments'!$C$2:$C$913,SLR_Covidence_Data_Extraction__66_files[[#This Row],[Study ID_1]],'Coded Segments'!$D$2:$D$913,SLR_Covidence_Data_Extraction__66_files[[#Headers],[Ethical Concerns (EC) &gt; EC_Other]])</f>
        <v>0</v>
      </c>
      <c r="AV53" s="37">
        <f>+COUNTIFS('Coded Segments'!$C$2:$C$913,SLR_Covidence_Data_Extraction__66_files[[#This Row],[Study ID_1]],'Coded Segments'!$D$2:$D$913,SLR_Covidence_Data_Extraction__66_files[[#Headers],[Literacy (LIT) &gt; LIT_Generic]])</f>
        <v>0</v>
      </c>
      <c r="AW53" s="37">
        <f>+COUNTIFS('Coded Segments'!$C$2:$C$913,SLR_Covidence_Data_Extraction__66_files[[#This Row],[Study ID_1]],'Coded Segments'!$D$2:$D$913,SLR_Covidence_Data_Extraction__66_files[[#Headers],[Literacy (LIT) &gt; LIT_None ]])</f>
        <v>0</v>
      </c>
      <c r="AX53" s="37">
        <f>+COUNTIFS('Coded Segments'!$C$2:$C$913,SLR_Covidence_Data_Extraction__66_files[[#This Row],[Study ID_1]],'Coded Segments'!$D$2:$D$913,SLR_Covidence_Data_Extraction__66_files[[#Headers],[Literacy (LIT) &gt; LIT_Low ]])</f>
        <v>0</v>
      </c>
      <c r="AY53" s="37">
        <f>+COUNTIFS('Coded Segments'!$C$2:$C$913,SLR_Covidence_Data_Extraction__66_files[[#This Row],[Study ID_1]],'Coded Segments'!$D$2:$D$913,SLR_Covidence_Data_Extraction__66_files[[#Headers],[Literacy (LIT) &gt; LIT_High]])</f>
        <v>0</v>
      </c>
    </row>
    <row r="54" spans="1:51" x14ac:dyDescent="0.25">
      <c r="A54" s="37">
        <v>51</v>
      </c>
      <c r="B54" s="37" t="s">
        <v>374</v>
      </c>
      <c r="C54" s="37" t="s">
        <v>372</v>
      </c>
      <c r="D54" s="37" t="s">
        <v>373</v>
      </c>
      <c r="E54" s="37" t="s">
        <v>375</v>
      </c>
      <c r="F54" s="37" t="s">
        <v>376</v>
      </c>
      <c r="G54" s="37" t="s">
        <v>377</v>
      </c>
      <c r="H54" s="39" t="s">
        <v>851</v>
      </c>
      <c r="I54" s="39" t="str">
        <f>LEFT(SLR_Covidence_Data_Extraction__66_files[[#This Row],[Publication date]],4)</f>
        <v>2025</v>
      </c>
      <c r="J54" s="37" t="s">
        <v>377</v>
      </c>
      <c r="K54" s="37" t="s">
        <v>378</v>
      </c>
      <c r="N54" s="37" t="s">
        <v>1480</v>
      </c>
      <c r="P54" s="37" t="s">
        <v>26</v>
      </c>
      <c r="Q54" s="37" t="s">
        <v>26</v>
      </c>
      <c r="S54" s="37" t="s">
        <v>852</v>
      </c>
      <c r="T54" s="37" t="s">
        <v>379</v>
      </c>
      <c r="U54" s="37" t="s">
        <v>380</v>
      </c>
      <c r="W54" s="37" t="s">
        <v>148</v>
      </c>
      <c r="X54" s="37" t="s">
        <v>26</v>
      </c>
      <c r="Y54" s="37" t="s">
        <v>381</v>
      </c>
      <c r="Z54" s="37" t="s">
        <v>136</v>
      </c>
      <c r="AA54" s="37" t="s">
        <v>1463</v>
      </c>
      <c r="AB54" s="38">
        <v>5</v>
      </c>
      <c r="AC54" s="37" t="s">
        <v>189</v>
      </c>
      <c r="AD54" s="37" t="s">
        <v>382</v>
      </c>
      <c r="AE54" s="37" t="s">
        <v>383</v>
      </c>
      <c r="AF54" s="37" t="s">
        <v>384</v>
      </c>
      <c r="AG54" s="37" t="s">
        <v>111</v>
      </c>
      <c r="AH54" s="37">
        <f>+COUNTIFS('Coded Segments'!$C$2:$C$913,SLR_Covidence_Data_Extraction__66_files[[#This Row],[Study ID_1]],'Coded Segments'!$D$2:$D$913,SLR_Covidence_Data_Extraction__66_files[[#Headers],[Adoption (AD) &gt; AD_High]])</f>
        <v>1</v>
      </c>
      <c r="AI54" s="37">
        <f>+COUNTIFS('Coded Segments'!$C$2:$C$913,SLR_Covidence_Data_Extraction__66_files[[#This Row],[Study ID_1]],'Coded Segments'!$D$2:$D$913,SLR_Covidence_Data_Extraction__66_files[[#Headers],[Adoption (AD) &gt; AD_Moderate]])</f>
        <v>0</v>
      </c>
      <c r="AJ54" s="37">
        <f>+COUNTIFS('Coded Segments'!$C$2:$C$913,SLR_Covidence_Data_Extraction__66_files[[#This Row],[Study ID_1]],'Coded Segments'!$D$2:$D$913,SLR_Covidence_Data_Extraction__66_files[[#Headers],[Adoption (AD) &gt; AD_Low]])</f>
        <v>0</v>
      </c>
      <c r="AK54" s="37">
        <f>+COUNTIFS('Coded Segments'!$C$2:$C$913,SLR_Covidence_Data_Extraction__66_files[[#This Row],[Study ID_1]],'Coded Segments'!$D$2:$D$913,SLR_Covidence_Data_Extraction__66_files[[#Headers],[Adoption (AD) &gt; AD_None]])</f>
        <v>0</v>
      </c>
      <c r="AL54" s="37">
        <f>+COUNTIFS('Coded Segments'!$C$2:$C$913,SLR_Covidence_Data_Extraction__66_files[[#This Row],[Study ID_1]],'Coded Segments'!$D$2:$D$913,SLR_Covidence_Data_Extraction__66_files[[#Headers],[Attitude (ATT) &gt; ATT_Negative]])</f>
        <v>3</v>
      </c>
      <c r="AM54" s="37">
        <f>+COUNTIFS('Coded Segments'!$C$2:$C$913,SLR_Covidence_Data_Extraction__66_files[[#This Row],[Study ID_1]],'Coded Segments'!$D$2:$D$913,SLR_Covidence_Data_Extraction__66_files[[#Headers],[Attitude (ATT) &gt; ATT_Positive]])</f>
        <v>4</v>
      </c>
      <c r="AN54" s="37">
        <f>+COUNTIFS('Coded Segments'!$C$2:$C$913,SLR_Covidence_Data_Extraction__66_files[[#This Row],[Study ID_1]],'Coded Segments'!$D$2:$D$913,SLR_Covidence_Data_Extraction__66_files[[#Headers],[Ethical Concerns (EC) &gt; EC_Bias]])</f>
        <v>0</v>
      </c>
      <c r="AO54" s="37">
        <f>+COUNTIFS('Coded Segments'!$C$2:$C$913,SLR_Covidence_Data_Extraction__66_files[[#This Row],[Study ID_1]],'Coded Segments'!$D$2:$D$913,SLR_Covidence_Data_Extraction__66_files[[#Headers],[Ethical Concerns (EC) &gt; EC_Copyright]])</f>
        <v>0</v>
      </c>
      <c r="AP54" s="37">
        <f>+COUNTIFS('Coded Segments'!$C$2:$C$913,SLR_Covidence_Data_Extraction__66_files[[#This Row],[Study ID_1]],'Coded Segments'!$D$2:$D$913,SLR_Covidence_Data_Extraction__66_files[[#Headers],[Ethical Concerns (EC) &gt; EC_Data safety &amp; confidentiality]])</f>
        <v>0</v>
      </c>
      <c r="AQ54" s="37">
        <f>+COUNTIFS('Coded Segments'!$C$2:$C$913,SLR_Covidence_Data_Extraction__66_files[[#This Row],[Study ID_1]],'Coded Segments'!$D$2:$D$913,SLR_Covidence_Data_Extraction__66_files[[#Headers],[Ethical Concerns (EC) &gt; EC_Environmental sustainability]])</f>
        <v>0</v>
      </c>
      <c r="AR54" s="37">
        <f>+COUNTIFS('Coded Segments'!$C$2:$C$913,SLR_Covidence_Data_Extraction__66_files[[#This Row],[Study ID_1]],'Coded Segments'!$D$2:$D$913,SLR_Covidence_Data_Extraction__66_files[[#Headers],[Ethical Concerns (EC) &gt; EC_Payment]])</f>
        <v>0</v>
      </c>
      <c r="AS54" s="37">
        <f>+COUNTIFS('Coded Segments'!$C$2:$C$912,SLR_Covidence_Data_Extraction__66_files[[#This Row],[Study ID_1]],'Coded Segments'!$D$2:$D$912,SLR_Covidence_Data_Extraction__66_files[[#Headers],[Ethical Concerns (EC) &gt; EC_Quality]])</f>
        <v>4</v>
      </c>
      <c r="AT54" s="37">
        <f>+COUNTIFS('Coded Segments'!$C$2:$C$913,SLR_Covidence_Data_Extraction__66_files[[#This Row],[Study ID_1]],'Coded Segments'!$D$2:$D$913,SLR_Covidence_Data_Extraction__66_files[[#Headers],[Ethical Concerns (EC) &gt; EC_Translators’ role &amp; status]])</f>
        <v>0</v>
      </c>
      <c r="AU54" s="37">
        <f>+COUNTIFS('Coded Segments'!$C$2:$C$913,SLR_Covidence_Data_Extraction__66_files[[#This Row],[Study ID_1]],'Coded Segments'!$D$2:$D$913,SLR_Covidence_Data_Extraction__66_files[[#Headers],[Ethical Concerns (EC) &gt; EC_Other]])</f>
        <v>0</v>
      </c>
      <c r="AV54" s="37">
        <f>+COUNTIFS('Coded Segments'!$C$2:$C$913,SLR_Covidence_Data_Extraction__66_files[[#This Row],[Study ID_1]],'Coded Segments'!$D$2:$D$913,SLR_Covidence_Data_Extraction__66_files[[#Headers],[Literacy (LIT) &gt; LIT_Generic]])</f>
        <v>2</v>
      </c>
      <c r="AW54" s="37">
        <f>+COUNTIFS('Coded Segments'!$C$2:$C$913,SLR_Covidence_Data_Extraction__66_files[[#This Row],[Study ID_1]],'Coded Segments'!$D$2:$D$913,SLR_Covidence_Data_Extraction__66_files[[#Headers],[Literacy (LIT) &gt; LIT_None ]])</f>
        <v>0</v>
      </c>
      <c r="AX54" s="37">
        <f>+COUNTIFS('Coded Segments'!$C$2:$C$913,SLR_Covidence_Data_Extraction__66_files[[#This Row],[Study ID_1]],'Coded Segments'!$D$2:$D$913,SLR_Covidence_Data_Extraction__66_files[[#Headers],[Literacy (LIT) &gt; LIT_Low ]])</f>
        <v>0</v>
      </c>
      <c r="AY54" s="37">
        <f>+COUNTIFS('Coded Segments'!$C$2:$C$913,SLR_Covidence_Data_Extraction__66_files[[#This Row],[Study ID_1]],'Coded Segments'!$D$2:$D$913,SLR_Covidence_Data_Extraction__66_files[[#Headers],[Literacy (LIT) &gt; LIT_High]])</f>
        <v>0</v>
      </c>
    </row>
    <row r="55" spans="1:51" x14ac:dyDescent="0.25">
      <c r="A55" s="37">
        <v>7</v>
      </c>
      <c r="B55" s="37" t="s">
        <v>716</v>
      </c>
      <c r="C55" s="37" t="s">
        <v>714</v>
      </c>
      <c r="D55" s="37" t="s">
        <v>715</v>
      </c>
      <c r="E55" s="37" t="s">
        <v>717</v>
      </c>
      <c r="F55" s="37" t="s">
        <v>718</v>
      </c>
      <c r="G55" s="37" t="s">
        <v>779</v>
      </c>
      <c r="H55" s="39" t="s">
        <v>898</v>
      </c>
      <c r="I55" s="39" t="str">
        <f>LEFT(SLR_Covidence_Data_Extraction__66_files[[#This Row],[Publication date]],4)</f>
        <v>2025</v>
      </c>
      <c r="J55" s="37" t="s">
        <v>779</v>
      </c>
      <c r="K55" s="37" t="s">
        <v>719</v>
      </c>
      <c r="L55" s="37" t="s">
        <v>1478</v>
      </c>
      <c r="P55" s="37" t="s">
        <v>26</v>
      </c>
      <c r="Q55" s="37" t="s">
        <v>26</v>
      </c>
      <c r="S55" s="37" t="s">
        <v>26</v>
      </c>
      <c r="T55" s="37" t="s">
        <v>26</v>
      </c>
      <c r="U55" s="37" t="s">
        <v>26</v>
      </c>
      <c r="X55" s="37" t="s">
        <v>26</v>
      </c>
      <c r="Y55" s="37" t="s">
        <v>720</v>
      </c>
      <c r="Z55" s="37" t="s">
        <v>136</v>
      </c>
      <c r="AA55" s="37" t="s">
        <v>1463</v>
      </c>
      <c r="AB55" s="38">
        <v>68</v>
      </c>
      <c r="AC55" s="37" t="s">
        <v>899</v>
      </c>
      <c r="AD55" s="37" t="s">
        <v>721</v>
      </c>
      <c r="AE55" s="37" t="s">
        <v>1678</v>
      </c>
      <c r="AF55" s="37" t="s">
        <v>722</v>
      </c>
      <c r="AG55" s="37" t="s">
        <v>243</v>
      </c>
      <c r="AH55" s="37">
        <f>+COUNTIFS('Coded Segments'!$C$2:$C$913,SLR_Covidence_Data_Extraction__66_files[[#This Row],[Study ID_1]],'Coded Segments'!$D$2:$D$913,SLR_Covidence_Data_Extraction__66_files[[#Headers],[Adoption (AD) &gt; AD_High]])</f>
        <v>2</v>
      </c>
      <c r="AI55" s="37">
        <f>+COUNTIFS('Coded Segments'!$C$2:$C$913,SLR_Covidence_Data_Extraction__66_files[[#This Row],[Study ID_1]],'Coded Segments'!$D$2:$D$913,SLR_Covidence_Data_Extraction__66_files[[#Headers],[Adoption (AD) &gt; AD_Moderate]])</f>
        <v>0</v>
      </c>
      <c r="AJ55" s="37">
        <f>+COUNTIFS('Coded Segments'!$C$2:$C$913,SLR_Covidence_Data_Extraction__66_files[[#This Row],[Study ID_1]],'Coded Segments'!$D$2:$D$913,SLR_Covidence_Data_Extraction__66_files[[#Headers],[Adoption (AD) &gt; AD_Low]])</f>
        <v>0</v>
      </c>
      <c r="AK55" s="37">
        <f>+COUNTIFS('Coded Segments'!$C$2:$C$913,SLR_Covidence_Data_Extraction__66_files[[#This Row],[Study ID_1]],'Coded Segments'!$D$2:$D$913,SLR_Covidence_Data_Extraction__66_files[[#Headers],[Adoption (AD) &gt; AD_None]])</f>
        <v>0</v>
      </c>
      <c r="AL55" s="37">
        <f>+COUNTIFS('Coded Segments'!$C$2:$C$913,SLR_Covidence_Data_Extraction__66_files[[#This Row],[Study ID_1]],'Coded Segments'!$D$2:$D$913,SLR_Covidence_Data_Extraction__66_files[[#Headers],[Attitude (ATT) &gt; ATT_Negative]])</f>
        <v>5</v>
      </c>
      <c r="AM55" s="37">
        <f>+COUNTIFS('Coded Segments'!$C$2:$C$913,SLR_Covidence_Data_Extraction__66_files[[#This Row],[Study ID_1]],'Coded Segments'!$D$2:$D$913,SLR_Covidence_Data_Extraction__66_files[[#Headers],[Attitude (ATT) &gt; ATT_Positive]])</f>
        <v>3</v>
      </c>
      <c r="AN55" s="37">
        <f>+COUNTIFS('Coded Segments'!$C$2:$C$913,SLR_Covidence_Data_Extraction__66_files[[#This Row],[Study ID_1]],'Coded Segments'!$D$2:$D$913,SLR_Covidence_Data_Extraction__66_files[[#Headers],[Ethical Concerns (EC) &gt; EC_Bias]])</f>
        <v>0</v>
      </c>
      <c r="AO55" s="37">
        <f>+COUNTIFS('Coded Segments'!$C$2:$C$913,SLR_Covidence_Data_Extraction__66_files[[#This Row],[Study ID_1]],'Coded Segments'!$D$2:$D$913,SLR_Covidence_Data_Extraction__66_files[[#Headers],[Ethical Concerns (EC) &gt; EC_Copyright]])</f>
        <v>0</v>
      </c>
      <c r="AP55" s="37">
        <f>+COUNTIFS('Coded Segments'!$C$2:$C$913,SLR_Covidence_Data_Extraction__66_files[[#This Row],[Study ID_1]],'Coded Segments'!$D$2:$D$913,SLR_Covidence_Data_Extraction__66_files[[#Headers],[Ethical Concerns (EC) &gt; EC_Data safety &amp; confidentiality]])</f>
        <v>0</v>
      </c>
      <c r="AQ55" s="37">
        <f>+COUNTIFS('Coded Segments'!$C$2:$C$913,SLR_Covidence_Data_Extraction__66_files[[#This Row],[Study ID_1]],'Coded Segments'!$D$2:$D$913,SLR_Covidence_Data_Extraction__66_files[[#Headers],[Ethical Concerns (EC) &gt; EC_Environmental sustainability]])</f>
        <v>0</v>
      </c>
      <c r="AR55" s="37">
        <f>+COUNTIFS('Coded Segments'!$C$2:$C$913,SLR_Covidence_Data_Extraction__66_files[[#This Row],[Study ID_1]],'Coded Segments'!$D$2:$D$913,SLR_Covidence_Data_Extraction__66_files[[#Headers],[Ethical Concerns (EC) &gt; EC_Payment]])</f>
        <v>0</v>
      </c>
      <c r="AS55" s="37">
        <f>+COUNTIFS('Coded Segments'!$C$2:$C$912,SLR_Covidence_Data_Extraction__66_files[[#This Row],[Study ID_1]],'Coded Segments'!$D$2:$D$912,SLR_Covidence_Data_Extraction__66_files[[#Headers],[Ethical Concerns (EC) &gt; EC_Quality]])</f>
        <v>2</v>
      </c>
      <c r="AT55" s="37">
        <f>+COUNTIFS('Coded Segments'!$C$2:$C$913,SLR_Covidence_Data_Extraction__66_files[[#This Row],[Study ID_1]],'Coded Segments'!$D$2:$D$913,SLR_Covidence_Data_Extraction__66_files[[#Headers],[Ethical Concerns (EC) &gt; EC_Translators’ role &amp; status]])</f>
        <v>5</v>
      </c>
      <c r="AU55" s="37">
        <f>+COUNTIFS('Coded Segments'!$C$2:$C$913,SLR_Covidence_Data_Extraction__66_files[[#This Row],[Study ID_1]],'Coded Segments'!$D$2:$D$913,SLR_Covidence_Data_Extraction__66_files[[#Headers],[Ethical Concerns (EC) &gt; EC_Other]])</f>
        <v>0</v>
      </c>
      <c r="AV55" s="37">
        <f>+COUNTIFS('Coded Segments'!$C$2:$C$913,SLR_Covidence_Data_Extraction__66_files[[#This Row],[Study ID_1]],'Coded Segments'!$D$2:$D$913,SLR_Covidence_Data_Extraction__66_files[[#Headers],[Literacy (LIT) &gt; LIT_Generic]])</f>
        <v>1</v>
      </c>
      <c r="AW55" s="37">
        <f>+COUNTIFS('Coded Segments'!$C$2:$C$913,SLR_Covidence_Data_Extraction__66_files[[#This Row],[Study ID_1]],'Coded Segments'!$D$2:$D$913,SLR_Covidence_Data_Extraction__66_files[[#Headers],[Literacy (LIT) &gt; LIT_None ]])</f>
        <v>0</v>
      </c>
      <c r="AX55" s="37">
        <f>+COUNTIFS('Coded Segments'!$C$2:$C$913,SLR_Covidence_Data_Extraction__66_files[[#This Row],[Study ID_1]],'Coded Segments'!$D$2:$D$913,SLR_Covidence_Data_Extraction__66_files[[#Headers],[Literacy (LIT) &gt; LIT_Low ]])</f>
        <v>2</v>
      </c>
      <c r="AY55" s="37">
        <f>+COUNTIFS('Coded Segments'!$C$2:$C$913,SLR_Covidence_Data_Extraction__66_files[[#This Row],[Study ID_1]],'Coded Segments'!$D$2:$D$913,SLR_Covidence_Data_Extraction__66_files[[#Headers],[Literacy (LIT) &gt; LIT_High]])</f>
        <v>0</v>
      </c>
    </row>
    <row r="56" spans="1:51" x14ac:dyDescent="0.25">
      <c r="A56" s="37">
        <v>78</v>
      </c>
      <c r="B56" s="37" t="s">
        <v>97</v>
      </c>
      <c r="C56" s="37" t="s">
        <v>96</v>
      </c>
      <c r="D56" s="37" t="s">
        <v>98</v>
      </c>
      <c r="E56" s="37" t="s">
        <v>99</v>
      </c>
      <c r="F56" s="37" t="s">
        <v>100</v>
      </c>
      <c r="G56" s="37" t="s">
        <v>784</v>
      </c>
      <c r="H56" s="39" t="s">
        <v>813</v>
      </c>
      <c r="I56" s="39" t="str">
        <f>LEFT(SLR_Covidence_Data_Extraction__66_files[[#This Row],[Publication date]],4)</f>
        <v>2025</v>
      </c>
      <c r="J56" s="37" t="s">
        <v>101</v>
      </c>
      <c r="K56" s="37" t="s">
        <v>102</v>
      </c>
      <c r="L56" s="37" t="s">
        <v>1478</v>
      </c>
      <c r="P56" s="37" t="s">
        <v>103</v>
      </c>
      <c r="Q56" s="37" t="s">
        <v>47</v>
      </c>
      <c r="R56" s="37">
        <v>78</v>
      </c>
      <c r="S56" s="37" t="s">
        <v>104</v>
      </c>
      <c r="T56" s="37" t="s">
        <v>105</v>
      </c>
      <c r="U56" s="37" t="s">
        <v>31</v>
      </c>
      <c r="V56" s="37" t="s">
        <v>32</v>
      </c>
      <c r="X56" s="37" t="s">
        <v>106</v>
      </c>
      <c r="Y56" s="37" t="s">
        <v>107</v>
      </c>
      <c r="Z56" s="37" t="s">
        <v>136</v>
      </c>
      <c r="AA56" s="37" t="s">
        <v>1463</v>
      </c>
      <c r="AB56" s="38">
        <v>381</v>
      </c>
      <c r="AC56" s="37" t="s">
        <v>814</v>
      </c>
      <c r="AD56" s="37" t="s">
        <v>108</v>
      </c>
      <c r="AE56" s="37" t="s">
        <v>109</v>
      </c>
      <c r="AF56" s="37" t="s">
        <v>110</v>
      </c>
      <c r="AG56" s="37" t="s">
        <v>111</v>
      </c>
      <c r="AH56" s="37">
        <f>+COUNTIFS('Coded Segments'!$C$2:$C$913,SLR_Covidence_Data_Extraction__66_files[[#This Row],[Study ID_1]],'Coded Segments'!$D$2:$D$913,SLR_Covidence_Data_Extraction__66_files[[#Headers],[Adoption (AD) &gt; AD_High]])</f>
        <v>2</v>
      </c>
      <c r="AI56" s="37">
        <f>+COUNTIFS('Coded Segments'!$C$2:$C$913,SLR_Covidence_Data_Extraction__66_files[[#This Row],[Study ID_1]],'Coded Segments'!$D$2:$D$913,SLR_Covidence_Data_Extraction__66_files[[#Headers],[Adoption (AD) &gt; AD_Moderate]])</f>
        <v>0</v>
      </c>
      <c r="AJ56" s="37">
        <f>+COUNTIFS('Coded Segments'!$C$2:$C$913,SLR_Covidence_Data_Extraction__66_files[[#This Row],[Study ID_1]],'Coded Segments'!$D$2:$D$913,SLR_Covidence_Data_Extraction__66_files[[#Headers],[Adoption (AD) &gt; AD_Low]])</f>
        <v>0</v>
      </c>
      <c r="AK56" s="37">
        <f>+COUNTIFS('Coded Segments'!$C$2:$C$913,SLR_Covidence_Data_Extraction__66_files[[#This Row],[Study ID_1]],'Coded Segments'!$D$2:$D$913,SLR_Covidence_Data_Extraction__66_files[[#Headers],[Adoption (AD) &gt; AD_None]])</f>
        <v>0</v>
      </c>
      <c r="AL56" s="37">
        <f>+COUNTIFS('Coded Segments'!$C$2:$C$913,SLR_Covidence_Data_Extraction__66_files[[#This Row],[Study ID_1]],'Coded Segments'!$D$2:$D$913,SLR_Covidence_Data_Extraction__66_files[[#Headers],[Attitude (ATT) &gt; ATT_Negative]])</f>
        <v>6</v>
      </c>
      <c r="AM56" s="37">
        <f>+COUNTIFS('Coded Segments'!$C$2:$C$913,SLR_Covidence_Data_Extraction__66_files[[#This Row],[Study ID_1]],'Coded Segments'!$D$2:$D$913,SLR_Covidence_Data_Extraction__66_files[[#Headers],[Attitude (ATT) &gt; ATT_Positive]])</f>
        <v>1</v>
      </c>
      <c r="AN56" s="37">
        <f>+COUNTIFS('Coded Segments'!$C$2:$C$913,SLR_Covidence_Data_Extraction__66_files[[#This Row],[Study ID_1]],'Coded Segments'!$D$2:$D$913,SLR_Covidence_Data_Extraction__66_files[[#Headers],[Ethical Concerns (EC) &gt; EC_Bias]])</f>
        <v>0</v>
      </c>
      <c r="AO56" s="37">
        <f>+COUNTIFS('Coded Segments'!$C$2:$C$913,SLR_Covidence_Data_Extraction__66_files[[#This Row],[Study ID_1]],'Coded Segments'!$D$2:$D$913,SLR_Covidence_Data_Extraction__66_files[[#Headers],[Ethical Concerns (EC) &gt; EC_Copyright]])</f>
        <v>0</v>
      </c>
      <c r="AP56" s="37">
        <f>+COUNTIFS('Coded Segments'!$C$2:$C$913,SLR_Covidence_Data_Extraction__66_files[[#This Row],[Study ID_1]],'Coded Segments'!$D$2:$D$913,SLR_Covidence_Data_Extraction__66_files[[#Headers],[Ethical Concerns (EC) &gt; EC_Data safety &amp; confidentiality]])</f>
        <v>0</v>
      </c>
      <c r="AQ56" s="37">
        <f>+COUNTIFS('Coded Segments'!$C$2:$C$913,SLR_Covidence_Data_Extraction__66_files[[#This Row],[Study ID_1]],'Coded Segments'!$D$2:$D$913,SLR_Covidence_Data_Extraction__66_files[[#Headers],[Ethical Concerns (EC) &gt; EC_Environmental sustainability]])</f>
        <v>0</v>
      </c>
      <c r="AR56" s="37">
        <f>+COUNTIFS('Coded Segments'!$C$2:$C$913,SLR_Covidence_Data_Extraction__66_files[[#This Row],[Study ID_1]],'Coded Segments'!$D$2:$D$913,SLR_Covidence_Data_Extraction__66_files[[#Headers],[Ethical Concerns (EC) &gt; EC_Payment]])</f>
        <v>5</v>
      </c>
      <c r="AS56" s="37">
        <f>+COUNTIFS('Coded Segments'!$C$2:$C$912,SLR_Covidence_Data_Extraction__66_files[[#This Row],[Study ID_1]],'Coded Segments'!$D$2:$D$912,SLR_Covidence_Data_Extraction__66_files[[#Headers],[Ethical Concerns (EC) &gt; EC_Quality]])</f>
        <v>0</v>
      </c>
      <c r="AT56" s="37">
        <f>+COUNTIFS('Coded Segments'!$C$2:$C$913,SLR_Covidence_Data_Extraction__66_files[[#This Row],[Study ID_1]],'Coded Segments'!$D$2:$D$913,SLR_Covidence_Data_Extraction__66_files[[#Headers],[Ethical Concerns (EC) &gt; EC_Translators’ role &amp; status]])</f>
        <v>3</v>
      </c>
      <c r="AU56" s="37">
        <f>+COUNTIFS('Coded Segments'!$C$2:$C$913,SLR_Covidence_Data_Extraction__66_files[[#This Row],[Study ID_1]],'Coded Segments'!$D$2:$D$913,SLR_Covidence_Data_Extraction__66_files[[#Headers],[Ethical Concerns (EC) &gt; EC_Other]])</f>
        <v>0</v>
      </c>
      <c r="AV56" s="37">
        <f>+COUNTIFS('Coded Segments'!$C$2:$C$913,SLR_Covidence_Data_Extraction__66_files[[#This Row],[Study ID_1]],'Coded Segments'!$D$2:$D$913,SLR_Covidence_Data_Extraction__66_files[[#Headers],[Literacy (LIT) &gt; LIT_Generic]])</f>
        <v>0</v>
      </c>
      <c r="AW56" s="37">
        <f>+COUNTIFS('Coded Segments'!$C$2:$C$913,SLR_Covidence_Data_Extraction__66_files[[#This Row],[Study ID_1]],'Coded Segments'!$D$2:$D$913,SLR_Covidence_Data_Extraction__66_files[[#Headers],[Literacy (LIT) &gt; LIT_None ]])</f>
        <v>0</v>
      </c>
      <c r="AX56" s="37">
        <f>+COUNTIFS('Coded Segments'!$C$2:$C$913,SLR_Covidence_Data_Extraction__66_files[[#This Row],[Study ID_1]],'Coded Segments'!$D$2:$D$913,SLR_Covidence_Data_Extraction__66_files[[#Headers],[Literacy (LIT) &gt; LIT_Low ]])</f>
        <v>0</v>
      </c>
      <c r="AY56" s="37">
        <f>+COUNTIFS('Coded Segments'!$C$2:$C$913,SLR_Covidence_Data_Extraction__66_files[[#This Row],[Study ID_1]],'Coded Segments'!$D$2:$D$913,SLR_Covidence_Data_Extraction__66_files[[#Headers],[Literacy (LIT) &gt; LIT_High]])</f>
        <v>0</v>
      </c>
    </row>
    <row r="57" spans="1:51" x14ac:dyDescent="0.25">
      <c r="A57" s="37">
        <v>10</v>
      </c>
      <c r="B57" s="37" t="s">
        <v>685</v>
      </c>
      <c r="C57" s="37" t="s">
        <v>684</v>
      </c>
      <c r="D57" s="37" t="s">
        <v>686</v>
      </c>
      <c r="E57" s="37" t="s">
        <v>687</v>
      </c>
      <c r="F57" s="37" t="s">
        <v>688</v>
      </c>
      <c r="G57" s="37" t="s">
        <v>227</v>
      </c>
      <c r="H57" s="39" t="s">
        <v>890</v>
      </c>
      <c r="I57" s="39" t="str">
        <f>LEFT(SLR_Covidence_Data_Extraction__66_files[[#This Row],[Publication date]],4)</f>
        <v>2025</v>
      </c>
      <c r="J57" s="37" t="s">
        <v>227</v>
      </c>
      <c r="K57" s="37" t="s">
        <v>891</v>
      </c>
      <c r="L57" s="37" t="s">
        <v>1478</v>
      </c>
      <c r="P57" s="37">
        <v>33</v>
      </c>
      <c r="Q57" s="37" t="s">
        <v>190</v>
      </c>
      <c r="R57" s="37">
        <v>33</v>
      </c>
      <c r="S57" s="37" t="s">
        <v>26</v>
      </c>
      <c r="T57" s="37" t="s">
        <v>26</v>
      </c>
      <c r="U57" s="37" t="s">
        <v>26</v>
      </c>
      <c r="V57" s="37" t="s">
        <v>32</v>
      </c>
      <c r="X57" s="37" t="s">
        <v>689</v>
      </c>
      <c r="Y57" s="37" t="s">
        <v>690</v>
      </c>
      <c r="Z57" s="37" t="s">
        <v>136</v>
      </c>
      <c r="AA57" s="37" t="s">
        <v>1473</v>
      </c>
      <c r="AB57" s="38">
        <v>40</v>
      </c>
      <c r="AC57" s="37" t="s">
        <v>808</v>
      </c>
      <c r="AD57" s="37" t="s">
        <v>892</v>
      </c>
      <c r="AE57" s="37" t="s">
        <v>893</v>
      </c>
      <c r="AF57" s="37" t="s">
        <v>894</v>
      </c>
      <c r="AG57" s="37" t="s">
        <v>269</v>
      </c>
      <c r="AH57" s="37">
        <f>+COUNTIFS('Coded Segments'!$C$2:$C$913,SLR_Covidence_Data_Extraction__66_files[[#This Row],[Study ID_1]],'Coded Segments'!$D$2:$D$913,SLR_Covidence_Data_Extraction__66_files[[#Headers],[Adoption (AD) &gt; AD_High]])</f>
        <v>1</v>
      </c>
      <c r="AI57" s="37">
        <f>+COUNTIFS('Coded Segments'!$C$2:$C$913,SLR_Covidence_Data_Extraction__66_files[[#This Row],[Study ID_1]],'Coded Segments'!$D$2:$D$913,SLR_Covidence_Data_Extraction__66_files[[#Headers],[Adoption (AD) &gt; AD_Moderate]])</f>
        <v>0</v>
      </c>
      <c r="AJ57" s="37">
        <f>+COUNTIFS('Coded Segments'!$C$2:$C$913,SLR_Covidence_Data_Extraction__66_files[[#This Row],[Study ID_1]],'Coded Segments'!$D$2:$D$913,SLR_Covidence_Data_Extraction__66_files[[#Headers],[Adoption (AD) &gt; AD_Low]])</f>
        <v>0</v>
      </c>
      <c r="AK57" s="37">
        <f>+COUNTIFS('Coded Segments'!$C$2:$C$913,SLR_Covidence_Data_Extraction__66_files[[#This Row],[Study ID_1]],'Coded Segments'!$D$2:$D$913,SLR_Covidence_Data_Extraction__66_files[[#Headers],[Adoption (AD) &gt; AD_None]])</f>
        <v>0</v>
      </c>
      <c r="AL57" s="37">
        <f>+COUNTIFS('Coded Segments'!$C$2:$C$913,SLR_Covidence_Data_Extraction__66_files[[#This Row],[Study ID_1]],'Coded Segments'!$D$2:$D$913,SLR_Covidence_Data_Extraction__66_files[[#Headers],[Attitude (ATT) &gt; ATT_Negative]])</f>
        <v>4</v>
      </c>
      <c r="AM57" s="37">
        <f>+COUNTIFS('Coded Segments'!$C$2:$C$913,SLR_Covidence_Data_Extraction__66_files[[#This Row],[Study ID_1]],'Coded Segments'!$D$2:$D$913,SLR_Covidence_Data_Extraction__66_files[[#Headers],[Attitude (ATT) &gt; ATT_Positive]])</f>
        <v>0</v>
      </c>
      <c r="AN57" s="37">
        <f>+COUNTIFS('Coded Segments'!$C$2:$C$913,SLR_Covidence_Data_Extraction__66_files[[#This Row],[Study ID_1]],'Coded Segments'!$D$2:$D$913,SLR_Covidence_Data_Extraction__66_files[[#Headers],[Ethical Concerns (EC) &gt; EC_Bias]])</f>
        <v>0</v>
      </c>
      <c r="AO57" s="37">
        <f>+COUNTIFS('Coded Segments'!$C$2:$C$913,SLR_Covidence_Data_Extraction__66_files[[#This Row],[Study ID_1]],'Coded Segments'!$D$2:$D$913,SLR_Covidence_Data_Extraction__66_files[[#Headers],[Ethical Concerns (EC) &gt; EC_Copyright]])</f>
        <v>0</v>
      </c>
      <c r="AP57" s="37">
        <f>+COUNTIFS('Coded Segments'!$C$2:$C$913,SLR_Covidence_Data_Extraction__66_files[[#This Row],[Study ID_1]],'Coded Segments'!$D$2:$D$913,SLR_Covidence_Data_Extraction__66_files[[#Headers],[Ethical Concerns (EC) &gt; EC_Data safety &amp; confidentiality]])</f>
        <v>0</v>
      </c>
      <c r="AQ57" s="37">
        <f>+COUNTIFS('Coded Segments'!$C$2:$C$913,SLR_Covidence_Data_Extraction__66_files[[#This Row],[Study ID_1]],'Coded Segments'!$D$2:$D$913,SLR_Covidence_Data_Extraction__66_files[[#Headers],[Ethical Concerns (EC) &gt; EC_Environmental sustainability]])</f>
        <v>0</v>
      </c>
      <c r="AR57" s="37">
        <f>+COUNTIFS('Coded Segments'!$C$2:$C$913,SLR_Covidence_Data_Extraction__66_files[[#This Row],[Study ID_1]],'Coded Segments'!$D$2:$D$913,SLR_Covidence_Data_Extraction__66_files[[#Headers],[Ethical Concerns (EC) &gt; EC_Payment]])</f>
        <v>0</v>
      </c>
      <c r="AS57" s="37">
        <f>+COUNTIFS('Coded Segments'!$C$2:$C$912,SLR_Covidence_Data_Extraction__66_files[[#This Row],[Study ID_1]],'Coded Segments'!$D$2:$D$912,SLR_Covidence_Data_Extraction__66_files[[#Headers],[Ethical Concerns (EC) &gt; EC_Quality]])</f>
        <v>3</v>
      </c>
      <c r="AT57" s="37">
        <f>+COUNTIFS('Coded Segments'!$C$2:$C$913,SLR_Covidence_Data_Extraction__66_files[[#This Row],[Study ID_1]],'Coded Segments'!$D$2:$D$913,SLR_Covidence_Data_Extraction__66_files[[#Headers],[Ethical Concerns (EC) &gt; EC_Translators’ role &amp; status]])</f>
        <v>4</v>
      </c>
      <c r="AU57" s="37">
        <f>+COUNTIFS('Coded Segments'!$C$2:$C$913,SLR_Covidence_Data_Extraction__66_files[[#This Row],[Study ID_1]],'Coded Segments'!$D$2:$D$913,SLR_Covidence_Data_Extraction__66_files[[#Headers],[Ethical Concerns (EC) &gt; EC_Other]])</f>
        <v>1</v>
      </c>
      <c r="AV57" s="37">
        <f>+COUNTIFS('Coded Segments'!$C$2:$C$913,SLR_Covidence_Data_Extraction__66_files[[#This Row],[Study ID_1]],'Coded Segments'!$D$2:$D$913,SLR_Covidence_Data_Extraction__66_files[[#Headers],[Literacy (LIT) &gt; LIT_Generic]])</f>
        <v>0</v>
      </c>
      <c r="AW57" s="37">
        <f>+COUNTIFS('Coded Segments'!$C$2:$C$913,SLR_Covidence_Data_Extraction__66_files[[#This Row],[Study ID_1]],'Coded Segments'!$D$2:$D$913,SLR_Covidence_Data_Extraction__66_files[[#Headers],[Literacy (LIT) &gt; LIT_None ]])</f>
        <v>0</v>
      </c>
      <c r="AX57" s="37">
        <f>+COUNTIFS('Coded Segments'!$C$2:$C$913,SLR_Covidence_Data_Extraction__66_files[[#This Row],[Study ID_1]],'Coded Segments'!$D$2:$D$913,SLR_Covidence_Data_Extraction__66_files[[#Headers],[Literacy (LIT) &gt; LIT_Low ]])</f>
        <v>0</v>
      </c>
      <c r="AY57" s="37">
        <f>+COUNTIFS('Coded Segments'!$C$2:$C$913,SLR_Covidence_Data_Extraction__66_files[[#This Row],[Study ID_1]],'Coded Segments'!$D$2:$D$913,SLR_Covidence_Data_Extraction__66_files[[#Headers],[Literacy (LIT) &gt; LIT_High]])</f>
        <v>1</v>
      </c>
    </row>
    <row r="58" spans="1:51" x14ac:dyDescent="0.25">
      <c r="A58" s="37">
        <v>5</v>
      </c>
      <c r="B58" s="37" t="s">
        <v>737</v>
      </c>
      <c r="C58" s="37" t="s">
        <v>736</v>
      </c>
      <c r="D58" s="37" t="s">
        <v>738</v>
      </c>
      <c r="E58" s="37" t="s">
        <v>739</v>
      </c>
      <c r="F58" s="37" t="s">
        <v>740</v>
      </c>
      <c r="G58" s="37" t="s">
        <v>781</v>
      </c>
      <c r="H58" s="39" t="s">
        <v>837</v>
      </c>
      <c r="I58" s="39" t="str">
        <f>LEFT(SLR_Covidence_Data_Extraction__66_files[[#This Row],[Publication date]],4)</f>
        <v>2025</v>
      </c>
      <c r="J58" s="37" t="s">
        <v>781</v>
      </c>
      <c r="K58" s="37" t="s">
        <v>902</v>
      </c>
      <c r="L58" s="37" t="s">
        <v>1478</v>
      </c>
      <c r="N58" s="37" t="s">
        <v>1480</v>
      </c>
      <c r="P58" s="37" t="s">
        <v>190</v>
      </c>
      <c r="Q58" s="37" t="s">
        <v>263</v>
      </c>
      <c r="R58" s="37">
        <v>15</v>
      </c>
      <c r="S58" s="37" t="s">
        <v>26</v>
      </c>
      <c r="T58" s="37" t="s">
        <v>26</v>
      </c>
      <c r="U58" s="37" t="s">
        <v>26</v>
      </c>
      <c r="V58" s="37" t="s">
        <v>32</v>
      </c>
      <c r="X58" s="37" t="s">
        <v>26</v>
      </c>
      <c r="Y58" s="37" t="s">
        <v>741</v>
      </c>
      <c r="Z58" s="37" t="s">
        <v>136</v>
      </c>
      <c r="AA58" s="37" t="s">
        <v>1463</v>
      </c>
      <c r="AB58" s="38">
        <f>35+3</f>
        <v>38</v>
      </c>
      <c r="AC58" s="37" t="s">
        <v>903</v>
      </c>
      <c r="AD58" s="37" t="s">
        <v>904</v>
      </c>
      <c r="AE58" s="37" t="s">
        <v>905</v>
      </c>
      <c r="AF58" s="37" t="s">
        <v>906</v>
      </c>
      <c r="AG58" s="37" t="s">
        <v>111</v>
      </c>
      <c r="AH58" s="37">
        <f>+COUNTIFS('Coded Segments'!$C$2:$C$913,SLR_Covidence_Data_Extraction__66_files[[#This Row],[Study ID_1]],'Coded Segments'!$D$2:$D$913,SLR_Covidence_Data_Extraction__66_files[[#Headers],[Adoption (AD) &gt; AD_High]])</f>
        <v>2</v>
      </c>
      <c r="AI58" s="37">
        <f>+COUNTIFS('Coded Segments'!$C$2:$C$913,SLR_Covidence_Data_Extraction__66_files[[#This Row],[Study ID_1]],'Coded Segments'!$D$2:$D$913,SLR_Covidence_Data_Extraction__66_files[[#Headers],[Adoption (AD) &gt; AD_Moderate]])</f>
        <v>0</v>
      </c>
      <c r="AJ58" s="37">
        <f>+COUNTIFS('Coded Segments'!$C$2:$C$913,SLR_Covidence_Data_Extraction__66_files[[#This Row],[Study ID_1]],'Coded Segments'!$D$2:$D$913,SLR_Covidence_Data_Extraction__66_files[[#Headers],[Adoption (AD) &gt; AD_Low]])</f>
        <v>0</v>
      </c>
      <c r="AK58" s="37">
        <f>+COUNTIFS('Coded Segments'!$C$2:$C$913,SLR_Covidence_Data_Extraction__66_files[[#This Row],[Study ID_1]],'Coded Segments'!$D$2:$D$913,SLR_Covidence_Data_Extraction__66_files[[#Headers],[Adoption (AD) &gt; AD_None]])</f>
        <v>0</v>
      </c>
      <c r="AL58" s="37">
        <f>+COUNTIFS('Coded Segments'!$C$2:$C$913,SLR_Covidence_Data_Extraction__66_files[[#This Row],[Study ID_1]],'Coded Segments'!$D$2:$D$913,SLR_Covidence_Data_Extraction__66_files[[#Headers],[Attitude (ATT) &gt; ATT_Negative]])</f>
        <v>3</v>
      </c>
      <c r="AM58" s="37">
        <f>+COUNTIFS('Coded Segments'!$C$2:$C$913,SLR_Covidence_Data_Extraction__66_files[[#This Row],[Study ID_1]],'Coded Segments'!$D$2:$D$913,SLR_Covidence_Data_Extraction__66_files[[#Headers],[Attitude (ATT) &gt; ATT_Positive]])</f>
        <v>4</v>
      </c>
      <c r="AN58" s="37">
        <f>+COUNTIFS('Coded Segments'!$C$2:$C$913,SLR_Covidence_Data_Extraction__66_files[[#This Row],[Study ID_1]],'Coded Segments'!$D$2:$D$913,SLR_Covidence_Data_Extraction__66_files[[#Headers],[Ethical Concerns (EC) &gt; EC_Bias]])</f>
        <v>0</v>
      </c>
      <c r="AO58" s="37">
        <f>+COUNTIFS('Coded Segments'!$C$2:$C$913,SLR_Covidence_Data_Extraction__66_files[[#This Row],[Study ID_1]],'Coded Segments'!$D$2:$D$913,SLR_Covidence_Data_Extraction__66_files[[#Headers],[Ethical Concerns (EC) &gt; EC_Copyright]])</f>
        <v>0</v>
      </c>
      <c r="AP58" s="37">
        <f>+COUNTIFS('Coded Segments'!$C$2:$C$913,SLR_Covidence_Data_Extraction__66_files[[#This Row],[Study ID_1]],'Coded Segments'!$D$2:$D$913,SLR_Covidence_Data_Extraction__66_files[[#Headers],[Ethical Concerns (EC) &gt; EC_Data safety &amp; confidentiality]])</f>
        <v>0</v>
      </c>
      <c r="AQ58" s="37">
        <f>+COUNTIFS('Coded Segments'!$C$2:$C$913,SLR_Covidence_Data_Extraction__66_files[[#This Row],[Study ID_1]],'Coded Segments'!$D$2:$D$913,SLR_Covidence_Data_Extraction__66_files[[#Headers],[Ethical Concerns (EC) &gt; EC_Environmental sustainability]])</f>
        <v>0</v>
      </c>
      <c r="AR58" s="37">
        <f>+COUNTIFS('Coded Segments'!$C$2:$C$913,SLR_Covidence_Data_Extraction__66_files[[#This Row],[Study ID_1]],'Coded Segments'!$D$2:$D$913,SLR_Covidence_Data_Extraction__66_files[[#Headers],[Ethical Concerns (EC) &gt; EC_Payment]])</f>
        <v>1</v>
      </c>
      <c r="AS58" s="37">
        <f>+COUNTIFS('Coded Segments'!$C$2:$C$912,SLR_Covidence_Data_Extraction__66_files[[#This Row],[Study ID_1]],'Coded Segments'!$D$2:$D$912,SLR_Covidence_Data_Extraction__66_files[[#Headers],[Ethical Concerns (EC) &gt; EC_Quality]])</f>
        <v>2</v>
      </c>
      <c r="AT58" s="37">
        <f>+COUNTIFS('Coded Segments'!$C$2:$C$913,SLR_Covidence_Data_Extraction__66_files[[#This Row],[Study ID_1]],'Coded Segments'!$D$2:$D$913,SLR_Covidence_Data_Extraction__66_files[[#Headers],[Ethical Concerns (EC) &gt; EC_Translators’ role &amp; status]])</f>
        <v>3</v>
      </c>
      <c r="AU58" s="37">
        <f>+COUNTIFS('Coded Segments'!$C$2:$C$913,SLR_Covidence_Data_Extraction__66_files[[#This Row],[Study ID_1]],'Coded Segments'!$D$2:$D$913,SLR_Covidence_Data_Extraction__66_files[[#Headers],[Ethical Concerns (EC) &gt; EC_Other]])</f>
        <v>0</v>
      </c>
      <c r="AV58" s="37">
        <f>+COUNTIFS('Coded Segments'!$C$2:$C$913,SLR_Covidence_Data_Extraction__66_files[[#This Row],[Study ID_1]],'Coded Segments'!$D$2:$D$913,SLR_Covidence_Data_Extraction__66_files[[#Headers],[Literacy (LIT) &gt; LIT_Generic]])</f>
        <v>1</v>
      </c>
      <c r="AW58" s="37">
        <f>+COUNTIFS('Coded Segments'!$C$2:$C$913,SLR_Covidence_Data_Extraction__66_files[[#This Row],[Study ID_1]],'Coded Segments'!$D$2:$D$913,SLR_Covidence_Data_Extraction__66_files[[#Headers],[Literacy (LIT) &gt; LIT_None ]])</f>
        <v>0</v>
      </c>
      <c r="AX58" s="37">
        <f>+COUNTIFS('Coded Segments'!$C$2:$C$913,SLR_Covidence_Data_Extraction__66_files[[#This Row],[Study ID_1]],'Coded Segments'!$D$2:$D$913,SLR_Covidence_Data_Extraction__66_files[[#Headers],[Literacy (LIT) &gt; LIT_Low ]])</f>
        <v>0</v>
      </c>
      <c r="AY58" s="37">
        <f>+COUNTIFS('Coded Segments'!$C$2:$C$913,SLR_Covidence_Data_Extraction__66_files[[#This Row],[Study ID_1]],'Coded Segments'!$D$2:$D$913,SLR_Covidence_Data_Extraction__66_files[[#Headers],[Literacy (LIT) &gt; LIT_High]])</f>
        <v>0</v>
      </c>
    </row>
    <row r="59" spans="1:51" x14ac:dyDescent="0.25">
      <c r="A59" s="37">
        <v>85</v>
      </c>
      <c r="B59" s="37" t="s">
        <v>795</v>
      </c>
      <c r="C59" s="37" t="s">
        <v>736</v>
      </c>
      <c r="D59" s="37" t="s">
        <v>794</v>
      </c>
      <c r="E59" s="37" t="s">
        <v>796</v>
      </c>
      <c r="F59" s="37" t="s">
        <v>797</v>
      </c>
      <c r="G59" s="37" t="s">
        <v>909</v>
      </c>
      <c r="H59" s="39" t="s">
        <v>798</v>
      </c>
      <c r="I59" s="39" t="str">
        <f>LEFT(SLR_Covidence_Data_Extraction__66_files[[#This Row],[Publication date]],4)</f>
        <v>2025</v>
      </c>
      <c r="J59" s="37" t="s">
        <v>909</v>
      </c>
      <c r="K59" s="37" t="s">
        <v>799</v>
      </c>
      <c r="L59" s="37" t="s">
        <v>1478</v>
      </c>
      <c r="P59" s="37" t="s">
        <v>190</v>
      </c>
      <c r="Q59" s="37" t="s">
        <v>583</v>
      </c>
      <c r="R59" s="37">
        <v>12</v>
      </c>
      <c r="S59" s="37" t="s">
        <v>26</v>
      </c>
      <c r="T59" s="37" t="s">
        <v>26</v>
      </c>
      <c r="U59" s="37" t="s">
        <v>26</v>
      </c>
      <c r="V59" s="37" t="s">
        <v>32</v>
      </c>
      <c r="X59" s="37" t="s">
        <v>26</v>
      </c>
      <c r="Y59" s="37" t="s">
        <v>800</v>
      </c>
      <c r="Z59" s="37" t="s">
        <v>136</v>
      </c>
      <c r="AA59" s="37" t="s">
        <v>1463</v>
      </c>
      <c r="AB59" s="38">
        <v>21</v>
      </c>
      <c r="AC59" s="37" t="s">
        <v>801</v>
      </c>
      <c r="AD59" s="37" t="s">
        <v>802</v>
      </c>
      <c r="AE59" s="37" t="s">
        <v>803</v>
      </c>
      <c r="AF59" s="37" t="s">
        <v>804</v>
      </c>
      <c r="AG59" s="37" t="s">
        <v>805</v>
      </c>
      <c r="AH59" s="37">
        <f>+COUNTIFS('Coded Segments'!$C$2:$C$913,SLR_Covidence_Data_Extraction__66_files[[#This Row],[Study ID_1]],'Coded Segments'!$D$2:$D$913,SLR_Covidence_Data_Extraction__66_files[[#Headers],[Adoption (AD) &gt; AD_High]])</f>
        <v>1</v>
      </c>
      <c r="AI59" s="37">
        <f>+COUNTIFS('Coded Segments'!$C$2:$C$913,SLR_Covidence_Data_Extraction__66_files[[#This Row],[Study ID_1]],'Coded Segments'!$D$2:$D$913,SLR_Covidence_Data_Extraction__66_files[[#Headers],[Adoption (AD) &gt; AD_Moderate]])</f>
        <v>0</v>
      </c>
      <c r="AJ59" s="37">
        <f>+COUNTIFS('Coded Segments'!$C$2:$C$913,SLR_Covidence_Data_Extraction__66_files[[#This Row],[Study ID_1]],'Coded Segments'!$D$2:$D$913,SLR_Covidence_Data_Extraction__66_files[[#Headers],[Adoption (AD) &gt; AD_Low]])</f>
        <v>0</v>
      </c>
      <c r="AK59" s="37">
        <f>+COUNTIFS('Coded Segments'!$C$2:$C$913,SLR_Covidence_Data_Extraction__66_files[[#This Row],[Study ID_1]],'Coded Segments'!$D$2:$D$913,SLR_Covidence_Data_Extraction__66_files[[#Headers],[Adoption (AD) &gt; AD_None]])</f>
        <v>0</v>
      </c>
      <c r="AL59" s="37">
        <f>+COUNTIFS('Coded Segments'!$C$2:$C$913,SLR_Covidence_Data_Extraction__66_files[[#This Row],[Study ID_1]],'Coded Segments'!$D$2:$D$913,SLR_Covidence_Data_Extraction__66_files[[#Headers],[Attitude (ATT) &gt; ATT_Negative]])</f>
        <v>2</v>
      </c>
      <c r="AM59" s="37">
        <f>+COUNTIFS('Coded Segments'!$C$2:$C$913,SLR_Covidence_Data_Extraction__66_files[[#This Row],[Study ID_1]],'Coded Segments'!$D$2:$D$913,SLR_Covidence_Data_Extraction__66_files[[#Headers],[Attitude (ATT) &gt; ATT_Positive]])</f>
        <v>1</v>
      </c>
      <c r="AN59" s="37">
        <f>+COUNTIFS('Coded Segments'!$C$2:$C$913,SLR_Covidence_Data_Extraction__66_files[[#This Row],[Study ID_1]],'Coded Segments'!$D$2:$D$913,SLR_Covidence_Data_Extraction__66_files[[#Headers],[Ethical Concerns (EC) &gt; EC_Bias]])</f>
        <v>3</v>
      </c>
      <c r="AO59" s="37">
        <f>+COUNTIFS('Coded Segments'!$C$2:$C$913,SLR_Covidence_Data_Extraction__66_files[[#This Row],[Study ID_1]],'Coded Segments'!$D$2:$D$913,SLR_Covidence_Data_Extraction__66_files[[#Headers],[Ethical Concerns (EC) &gt; EC_Copyright]])</f>
        <v>0</v>
      </c>
      <c r="AP59" s="37">
        <f>+COUNTIFS('Coded Segments'!$C$2:$C$913,SLR_Covidence_Data_Extraction__66_files[[#This Row],[Study ID_1]],'Coded Segments'!$D$2:$D$913,SLR_Covidence_Data_Extraction__66_files[[#Headers],[Ethical Concerns (EC) &gt; EC_Data safety &amp; confidentiality]])</f>
        <v>3</v>
      </c>
      <c r="AQ59" s="37">
        <f>+COUNTIFS('Coded Segments'!$C$2:$C$913,SLR_Covidence_Data_Extraction__66_files[[#This Row],[Study ID_1]],'Coded Segments'!$D$2:$D$913,SLR_Covidence_Data_Extraction__66_files[[#Headers],[Ethical Concerns (EC) &gt; EC_Environmental sustainability]])</f>
        <v>0</v>
      </c>
      <c r="AR59" s="37">
        <f>+COUNTIFS('Coded Segments'!$C$2:$C$913,SLR_Covidence_Data_Extraction__66_files[[#This Row],[Study ID_1]],'Coded Segments'!$D$2:$D$913,SLR_Covidence_Data_Extraction__66_files[[#Headers],[Ethical Concerns (EC) &gt; EC_Payment]])</f>
        <v>0</v>
      </c>
      <c r="AS59" s="37">
        <f>+COUNTIFS('Coded Segments'!$C$2:$C$912,SLR_Covidence_Data_Extraction__66_files[[#This Row],[Study ID_1]],'Coded Segments'!$D$2:$D$912,SLR_Covidence_Data_Extraction__66_files[[#Headers],[Ethical Concerns (EC) &gt; EC_Quality]])</f>
        <v>3</v>
      </c>
      <c r="AT59" s="37">
        <f>+COUNTIFS('Coded Segments'!$C$2:$C$913,SLR_Covidence_Data_Extraction__66_files[[#This Row],[Study ID_1]],'Coded Segments'!$D$2:$D$913,SLR_Covidence_Data_Extraction__66_files[[#Headers],[Ethical Concerns (EC) &gt; EC_Translators’ role &amp; status]])</f>
        <v>1</v>
      </c>
      <c r="AU59" s="37">
        <f>+COUNTIFS('Coded Segments'!$C$2:$C$913,SLR_Covidence_Data_Extraction__66_files[[#This Row],[Study ID_1]],'Coded Segments'!$D$2:$D$913,SLR_Covidence_Data_Extraction__66_files[[#Headers],[Ethical Concerns (EC) &gt; EC_Other]])</f>
        <v>2</v>
      </c>
      <c r="AV59" s="37">
        <f>+COUNTIFS('Coded Segments'!$C$2:$C$913,SLR_Covidence_Data_Extraction__66_files[[#This Row],[Study ID_1]],'Coded Segments'!$D$2:$D$913,SLR_Covidence_Data_Extraction__66_files[[#Headers],[Literacy (LIT) &gt; LIT_Generic]])</f>
        <v>3</v>
      </c>
      <c r="AW59" s="37">
        <f>+COUNTIFS('Coded Segments'!$C$2:$C$913,SLR_Covidence_Data_Extraction__66_files[[#This Row],[Study ID_1]],'Coded Segments'!$D$2:$D$913,SLR_Covidence_Data_Extraction__66_files[[#Headers],[Literacy (LIT) &gt; LIT_None ]])</f>
        <v>0</v>
      </c>
      <c r="AX59" s="37">
        <f>+COUNTIFS('Coded Segments'!$C$2:$C$913,SLR_Covidence_Data_Extraction__66_files[[#This Row],[Study ID_1]],'Coded Segments'!$D$2:$D$913,SLR_Covidence_Data_Extraction__66_files[[#Headers],[Literacy (LIT) &gt; LIT_Low ]])</f>
        <v>0</v>
      </c>
      <c r="AY59" s="37">
        <f>+COUNTIFS('Coded Segments'!$C$2:$C$913,SLR_Covidence_Data_Extraction__66_files[[#This Row],[Study ID_1]],'Coded Segments'!$D$2:$D$913,SLR_Covidence_Data_Extraction__66_files[[#Headers],[Literacy (LIT) &gt; LIT_High]])</f>
        <v>0</v>
      </c>
    </row>
    <row r="60" spans="1:51" x14ac:dyDescent="0.25">
      <c r="A60" s="37">
        <v>80</v>
      </c>
      <c r="B60" s="37" t="s">
        <v>67</v>
      </c>
      <c r="C60" s="37" t="s">
        <v>65</v>
      </c>
      <c r="D60" s="37" t="s">
        <v>66</v>
      </c>
      <c r="E60" s="37" t="s">
        <v>68</v>
      </c>
      <c r="F60" s="37" t="s">
        <v>69</v>
      </c>
      <c r="G60" s="37" t="s">
        <v>70</v>
      </c>
      <c r="H60" s="39" t="s">
        <v>810</v>
      </c>
      <c r="I60" s="39" t="str">
        <f>LEFT(SLR_Covidence_Data_Extraction__66_files[[#This Row],[Publication date]],4)</f>
        <v>2025</v>
      </c>
      <c r="J60" s="37" t="s">
        <v>70</v>
      </c>
      <c r="K60" s="37" t="s">
        <v>71</v>
      </c>
      <c r="L60" s="37" t="s">
        <v>1478</v>
      </c>
      <c r="P60" s="37" t="s">
        <v>72</v>
      </c>
      <c r="Q60" s="37" t="s">
        <v>73</v>
      </c>
      <c r="R60" s="37">
        <v>22</v>
      </c>
      <c r="S60" s="37" t="s">
        <v>75</v>
      </c>
      <c r="T60" s="37" t="s">
        <v>76</v>
      </c>
      <c r="U60" s="37" t="s">
        <v>77</v>
      </c>
      <c r="V60" s="37" t="s">
        <v>32</v>
      </c>
      <c r="X60" s="37" t="s">
        <v>78</v>
      </c>
      <c r="Y60" s="37" t="s">
        <v>79</v>
      </c>
      <c r="Z60" s="37" t="s">
        <v>136</v>
      </c>
      <c r="AA60" s="37" t="s">
        <v>1464</v>
      </c>
      <c r="AB60" s="38">
        <v>51</v>
      </c>
      <c r="AC60" s="37" t="s">
        <v>811</v>
      </c>
      <c r="AD60" s="37" t="s">
        <v>80</v>
      </c>
      <c r="AE60" s="37" t="s">
        <v>81</v>
      </c>
      <c r="AF60" s="37" t="s">
        <v>82</v>
      </c>
      <c r="AG60" s="37" t="s">
        <v>64</v>
      </c>
      <c r="AH60" s="37">
        <f>+COUNTIFS('Coded Segments'!$C$2:$C$913,SLR_Covidence_Data_Extraction__66_files[[#This Row],[Study ID_1]],'Coded Segments'!$D$2:$D$913,SLR_Covidence_Data_Extraction__66_files[[#Headers],[Adoption (AD) &gt; AD_High]])</f>
        <v>0</v>
      </c>
      <c r="AI60" s="37">
        <f>+COUNTIFS('Coded Segments'!$C$2:$C$913,SLR_Covidence_Data_Extraction__66_files[[#This Row],[Study ID_1]],'Coded Segments'!$D$2:$D$913,SLR_Covidence_Data_Extraction__66_files[[#Headers],[Adoption (AD) &gt; AD_Moderate]])</f>
        <v>2</v>
      </c>
      <c r="AJ60" s="37">
        <f>+COUNTIFS('Coded Segments'!$C$2:$C$913,SLR_Covidence_Data_Extraction__66_files[[#This Row],[Study ID_1]],'Coded Segments'!$D$2:$D$913,SLR_Covidence_Data_Extraction__66_files[[#Headers],[Adoption (AD) &gt; AD_Low]])</f>
        <v>0</v>
      </c>
      <c r="AK60" s="37">
        <f>+COUNTIFS('Coded Segments'!$C$2:$C$913,SLR_Covidence_Data_Extraction__66_files[[#This Row],[Study ID_1]],'Coded Segments'!$D$2:$D$913,SLR_Covidence_Data_Extraction__66_files[[#Headers],[Adoption (AD) &gt; AD_None]])</f>
        <v>0</v>
      </c>
      <c r="AL60" s="37">
        <f>+COUNTIFS('Coded Segments'!$C$2:$C$913,SLR_Covidence_Data_Extraction__66_files[[#This Row],[Study ID_1]],'Coded Segments'!$D$2:$D$913,SLR_Covidence_Data_Extraction__66_files[[#Headers],[Attitude (ATT) &gt; ATT_Negative]])</f>
        <v>16</v>
      </c>
      <c r="AM60" s="37">
        <f>+COUNTIFS('Coded Segments'!$C$2:$C$913,SLR_Covidence_Data_Extraction__66_files[[#This Row],[Study ID_1]],'Coded Segments'!$D$2:$D$913,SLR_Covidence_Data_Extraction__66_files[[#Headers],[Attitude (ATT) &gt; ATT_Positive]])</f>
        <v>2</v>
      </c>
      <c r="AN60" s="37">
        <f>+COUNTIFS('Coded Segments'!$C$2:$C$913,SLR_Covidence_Data_Extraction__66_files[[#This Row],[Study ID_1]],'Coded Segments'!$D$2:$D$913,SLR_Covidence_Data_Extraction__66_files[[#Headers],[Ethical Concerns (EC) &gt; EC_Bias]])</f>
        <v>0</v>
      </c>
      <c r="AO60" s="37">
        <f>+COUNTIFS('Coded Segments'!$C$2:$C$913,SLR_Covidence_Data_Extraction__66_files[[#This Row],[Study ID_1]],'Coded Segments'!$D$2:$D$913,SLR_Covidence_Data_Extraction__66_files[[#Headers],[Ethical Concerns (EC) &gt; EC_Copyright]])</f>
        <v>2</v>
      </c>
      <c r="AP60" s="37">
        <f>+COUNTIFS('Coded Segments'!$C$2:$C$913,SLR_Covidence_Data_Extraction__66_files[[#This Row],[Study ID_1]],'Coded Segments'!$D$2:$D$913,SLR_Covidence_Data_Extraction__66_files[[#Headers],[Ethical Concerns (EC) &gt; EC_Data safety &amp; confidentiality]])</f>
        <v>1</v>
      </c>
      <c r="AQ60" s="37">
        <f>+COUNTIFS('Coded Segments'!$C$2:$C$913,SLR_Covidence_Data_Extraction__66_files[[#This Row],[Study ID_1]],'Coded Segments'!$D$2:$D$913,SLR_Covidence_Data_Extraction__66_files[[#Headers],[Ethical Concerns (EC) &gt; EC_Environmental sustainability]])</f>
        <v>1</v>
      </c>
      <c r="AR60" s="37">
        <f>+COUNTIFS('Coded Segments'!$C$2:$C$913,SLR_Covidence_Data_Extraction__66_files[[#This Row],[Study ID_1]],'Coded Segments'!$D$2:$D$913,SLR_Covidence_Data_Extraction__66_files[[#Headers],[Ethical Concerns (EC) &gt; EC_Payment]])</f>
        <v>5</v>
      </c>
      <c r="AS60" s="37">
        <f>+COUNTIFS('Coded Segments'!$C$2:$C$912,SLR_Covidence_Data_Extraction__66_files[[#This Row],[Study ID_1]],'Coded Segments'!$D$2:$D$912,SLR_Covidence_Data_Extraction__66_files[[#Headers],[Ethical Concerns (EC) &gt; EC_Quality]])</f>
        <v>7</v>
      </c>
      <c r="AT60" s="37">
        <f>+COUNTIFS('Coded Segments'!$C$2:$C$913,SLR_Covidence_Data_Extraction__66_files[[#This Row],[Study ID_1]],'Coded Segments'!$D$2:$D$913,SLR_Covidence_Data_Extraction__66_files[[#Headers],[Ethical Concerns (EC) &gt; EC_Translators’ role &amp; status]])</f>
        <v>4</v>
      </c>
      <c r="AU60" s="37">
        <f>+COUNTIFS('Coded Segments'!$C$2:$C$913,SLR_Covidence_Data_Extraction__66_files[[#This Row],[Study ID_1]],'Coded Segments'!$D$2:$D$913,SLR_Covidence_Data_Extraction__66_files[[#Headers],[Ethical Concerns (EC) &gt; EC_Other]])</f>
        <v>1</v>
      </c>
      <c r="AV60" s="37">
        <f>+COUNTIFS('Coded Segments'!$C$2:$C$913,SLR_Covidence_Data_Extraction__66_files[[#This Row],[Study ID_1]],'Coded Segments'!$D$2:$D$913,SLR_Covidence_Data_Extraction__66_files[[#Headers],[Literacy (LIT) &gt; LIT_Generic]])</f>
        <v>1</v>
      </c>
      <c r="AW60" s="37">
        <f>+COUNTIFS('Coded Segments'!$C$2:$C$913,SLR_Covidence_Data_Extraction__66_files[[#This Row],[Study ID_1]],'Coded Segments'!$D$2:$D$913,SLR_Covidence_Data_Extraction__66_files[[#Headers],[Literacy (LIT) &gt; LIT_None ]])</f>
        <v>0</v>
      </c>
      <c r="AX60" s="37">
        <f>+COUNTIFS('Coded Segments'!$C$2:$C$913,SLR_Covidence_Data_Extraction__66_files[[#This Row],[Study ID_1]],'Coded Segments'!$D$2:$D$913,SLR_Covidence_Data_Extraction__66_files[[#Headers],[Literacy (LIT) &gt; LIT_Low ]])</f>
        <v>0</v>
      </c>
      <c r="AY60" s="37">
        <f>+COUNTIFS('Coded Segments'!$C$2:$C$913,SLR_Covidence_Data_Extraction__66_files[[#This Row],[Study ID_1]],'Coded Segments'!$D$2:$D$913,SLR_Covidence_Data_Extraction__66_files[[#Headers],[Literacy (LIT) &gt; LIT_High]])</f>
        <v>0</v>
      </c>
    </row>
    <row r="61" spans="1:51" x14ac:dyDescent="0.25">
      <c r="A61" s="37">
        <v>81</v>
      </c>
      <c r="B61" s="37" t="s">
        <v>57</v>
      </c>
      <c r="C61" s="37" t="s">
        <v>55</v>
      </c>
      <c r="D61" s="37" t="s">
        <v>56</v>
      </c>
      <c r="E61" s="37" t="s">
        <v>58</v>
      </c>
      <c r="F61" s="37" t="s">
        <v>26</v>
      </c>
      <c r="G61" s="37" t="s">
        <v>771</v>
      </c>
      <c r="H61" s="39" t="s">
        <v>59</v>
      </c>
      <c r="I61" s="39" t="str">
        <f>LEFT(SLR_Covidence_Data_Extraction__66_files[[#This Row],[Publication date]],4)</f>
        <v>2025</v>
      </c>
      <c r="J61" s="37" t="s">
        <v>771</v>
      </c>
      <c r="K61" s="37" t="s">
        <v>60</v>
      </c>
      <c r="L61" s="37" t="s">
        <v>1478</v>
      </c>
      <c r="P61" s="37" t="s">
        <v>26</v>
      </c>
      <c r="Q61" s="37" t="s">
        <v>26</v>
      </c>
      <c r="S61" s="37" t="s">
        <v>26</v>
      </c>
      <c r="T61" s="37" t="s">
        <v>26</v>
      </c>
      <c r="U61" s="37" t="s">
        <v>61</v>
      </c>
      <c r="V61" s="37" t="s">
        <v>32</v>
      </c>
      <c r="X61" s="37" t="s">
        <v>26</v>
      </c>
      <c r="Y61" s="37" t="s">
        <v>1474</v>
      </c>
      <c r="Z61" s="37" t="s">
        <v>1562</v>
      </c>
      <c r="AA61" s="37" t="s">
        <v>1463</v>
      </c>
      <c r="AB61" s="38">
        <v>654</v>
      </c>
      <c r="AC61" s="37" t="s">
        <v>809</v>
      </c>
      <c r="AD61" s="37" t="s">
        <v>62</v>
      </c>
      <c r="AE61" s="37" t="s">
        <v>1681</v>
      </c>
      <c r="AF61" s="37" t="s">
        <v>63</v>
      </c>
      <c r="AG61" s="37" t="s">
        <v>64</v>
      </c>
      <c r="AH61" s="37">
        <f>+COUNTIFS('Coded Segments'!$C$2:$C$913,SLR_Covidence_Data_Extraction__66_files[[#This Row],[Study ID_1]],'Coded Segments'!$D$2:$D$913,SLR_Covidence_Data_Extraction__66_files[[#Headers],[Adoption (AD) &gt; AD_High]])</f>
        <v>1</v>
      </c>
      <c r="AI61" s="37">
        <f>+COUNTIFS('Coded Segments'!$C$2:$C$913,SLR_Covidence_Data_Extraction__66_files[[#This Row],[Study ID_1]],'Coded Segments'!$D$2:$D$913,SLR_Covidence_Data_Extraction__66_files[[#Headers],[Adoption (AD) &gt; AD_Moderate]])</f>
        <v>0</v>
      </c>
      <c r="AJ61" s="37">
        <f>+COUNTIFS('Coded Segments'!$C$2:$C$913,SLR_Covidence_Data_Extraction__66_files[[#This Row],[Study ID_1]],'Coded Segments'!$D$2:$D$913,SLR_Covidence_Data_Extraction__66_files[[#Headers],[Adoption (AD) &gt; AD_Low]])</f>
        <v>0</v>
      </c>
      <c r="AK61" s="37">
        <f>+COUNTIFS('Coded Segments'!$C$2:$C$913,SLR_Covidence_Data_Extraction__66_files[[#This Row],[Study ID_1]],'Coded Segments'!$D$2:$D$913,SLR_Covidence_Data_Extraction__66_files[[#Headers],[Adoption (AD) &gt; AD_None]])</f>
        <v>0</v>
      </c>
      <c r="AL61" s="37">
        <f>+COUNTIFS('Coded Segments'!$C$2:$C$913,SLR_Covidence_Data_Extraction__66_files[[#This Row],[Study ID_1]],'Coded Segments'!$D$2:$D$913,SLR_Covidence_Data_Extraction__66_files[[#Headers],[Attitude (ATT) &gt; ATT_Negative]])</f>
        <v>12</v>
      </c>
      <c r="AM61" s="37">
        <f>+COUNTIFS('Coded Segments'!$C$2:$C$913,SLR_Covidence_Data_Extraction__66_files[[#This Row],[Study ID_1]],'Coded Segments'!$D$2:$D$913,SLR_Covidence_Data_Extraction__66_files[[#Headers],[Attitude (ATT) &gt; ATT_Positive]])</f>
        <v>1</v>
      </c>
      <c r="AN61" s="37">
        <f>+COUNTIFS('Coded Segments'!$C$2:$C$913,SLR_Covidence_Data_Extraction__66_files[[#This Row],[Study ID_1]],'Coded Segments'!$D$2:$D$913,SLR_Covidence_Data_Extraction__66_files[[#Headers],[Ethical Concerns (EC) &gt; EC_Bias]])</f>
        <v>0</v>
      </c>
      <c r="AO61" s="37">
        <f>+COUNTIFS('Coded Segments'!$C$2:$C$913,SLR_Covidence_Data_Extraction__66_files[[#This Row],[Study ID_1]],'Coded Segments'!$D$2:$D$913,SLR_Covidence_Data_Extraction__66_files[[#Headers],[Ethical Concerns (EC) &gt; EC_Copyright]])</f>
        <v>0</v>
      </c>
      <c r="AP61" s="37">
        <f>+COUNTIFS('Coded Segments'!$C$2:$C$913,SLR_Covidence_Data_Extraction__66_files[[#This Row],[Study ID_1]],'Coded Segments'!$D$2:$D$913,SLR_Covidence_Data_Extraction__66_files[[#Headers],[Ethical Concerns (EC) &gt; EC_Data safety &amp; confidentiality]])</f>
        <v>0</v>
      </c>
      <c r="AQ61" s="37">
        <f>+COUNTIFS('Coded Segments'!$C$2:$C$913,SLR_Covidence_Data_Extraction__66_files[[#This Row],[Study ID_1]],'Coded Segments'!$D$2:$D$913,SLR_Covidence_Data_Extraction__66_files[[#Headers],[Ethical Concerns (EC) &gt; EC_Environmental sustainability]])</f>
        <v>0</v>
      </c>
      <c r="AR61" s="37">
        <f>+COUNTIFS('Coded Segments'!$C$2:$C$913,SLR_Covidence_Data_Extraction__66_files[[#This Row],[Study ID_1]],'Coded Segments'!$D$2:$D$913,SLR_Covidence_Data_Extraction__66_files[[#Headers],[Ethical Concerns (EC) &gt; EC_Payment]])</f>
        <v>8</v>
      </c>
      <c r="AS61" s="37">
        <f>+COUNTIFS('Coded Segments'!$C$2:$C$912,SLR_Covidence_Data_Extraction__66_files[[#This Row],[Study ID_1]],'Coded Segments'!$D$2:$D$912,SLR_Covidence_Data_Extraction__66_files[[#Headers],[Ethical Concerns (EC) &gt; EC_Quality]])</f>
        <v>0</v>
      </c>
      <c r="AT61" s="37">
        <f>+COUNTIFS('Coded Segments'!$C$2:$C$913,SLR_Covidence_Data_Extraction__66_files[[#This Row],[Study ID_1]],'Coded Segments'!$D$2:$D$913,SLR_Covidence_Data_Extraction__66_files[[#Headers],[Ethical Concerns (EC) &gt; EC_Translators’ role &amp; status]])</f>
        <v>6</v>
      </c>
      <c r="AU61" s="37">
        <f>+COUNTIFS('Coded Segments'!$C$2:$C$913,SLR_Covidence_Data_Extraction__66_files[[#This Row],[Study ID_1]],'Coded Segments'!$D$2:$D$913,SLR_Covidence_Data_Extraction__66_files[[#Headers],[Ethical Concerns (EC) &gt; EC_Other]])</f>
        <v>0</v>
      </c>
      <c r="AV61" s="37">
        <f>+COUNTIFS('Coded Segments'!$C$2:$C$913,SLR_Covidence_Data_Extraction__66_files[[#This Row],[Study ID_1]],'Coded Segments'!$D$2:$D$913,SLR_Covidence_Data_Extraction__66_files[[#Headers],[Literacy (LIT) &gt; LIT_Generic]])</f>
        <v>2</v>
      </c>
      <c r="AW61" s="37">
        <f>+COUNTIFS('Coded Segments'!$C$2:$C$913,SLR_Covidence_Data_Extraction__66_files[[#This Row],[Study ID_1]],'Coded Segments'!$D$2:$D$913,SLR_Covidence_Data_Extraction__66_files[[#Headers],[Literacy (LIT) &gt; LIT_None ]])</f>
        <v>0</v>
      </c>
      <c r="AX61" s="37">
        <f>+COUNTIFS('Coded Segments'!$C$2:$C$913,SLR_Covidence_Data_Extraction__66_files[[#This Row],[Study ID_1]],'Coded Segments'!$D$2:$D$913,SLR_Covidence_Data_Extraction__66_files[[#Headers],[Literacy (LIT) &gt; LIT_Low ]])</f>
        <v>0</v>
      </c>
      <c r="AY61" s="37">
        <f>+COUNTIFS('Coded Segments'!$C$2:$C$913,SLR_Covidence_Data_Extraction__66_files[[#This Row],[Study ID_1]],'Coded Segments'!$D$2:$D$913,SLR_Covidence_Data_Extraction__66_files[[#Headers],[Literacy (LIT) &gt; LIT_High]])</f>
        <v>0</v>
      </c>
    </row>
    <row r="62" spans="1:51" x14ac:dyDescent="0.25">
      <c r="A62" s="37">
        <v>11</v>
      </c>
      <c r="B62" s="37" t="s">
        <v>675</v>
      </c>
      <c r="C62" s="37" t="s">
        <v>673</v>
      </c>
      <c r="D62" s="37" t="s">
        <v>674</v>
      </c>
      <c r="E62" s="37" t="s">
        <v>676</v>
      </c>
      <c r="F62" s="37" t="s">
        <v>677</v>
      </c>
      <c r="G62" s="37" t="s">
        <v>779</v>
      </c>
      <c r="H62" s="39" t="s">
        <v>888</v>
      </c>
      <c r="I62" s="39" t="str">
        <f>LEFT(SLR_Covidence_Data_Extraction__66_files[[#This Row],[Publication date]],4)</f>
        <v>2025</v>
      </c>
      <c r="J62" s="37" t="s">
        <v>779</v>
      </c>
      <c r="K62" s="37" t="s">
        <v>678</v>
      </c>
      <c r="L62" s="37" t="s">
        <v>1478</v>
      </c>
      <c r="P62" s="37" t="s">
        <v>583</v>
      </c>
      <c r="Q62" s="37" t="s">
        <v>190</v>
      </c>
      <c r="R62" s="37">
        <v>12</v>
      </c>
      <c r="S62" s="37" t="s">
        <v>26</v>
      </c>
      <c r="T62" s="37" t="s">
        <v>26</v>
      </c>
      <c r="U62" s="37" t="s">
        <v>679</v>
      </c>
      <c r="V62" s="37" t="s">
        <v>32</v>
      </c>
      <c r="X62" s="37" t="s">
        <v>26</v>
      </c>
      <c r="Y62" s="37" t="s">
        <v>680</v>
      </c>
      <c r="Z62" s="37" t="s">
        <v>136</v>
      </c>
      <c r="AA62" s="37" t="s">
        <v>1463</v>
      </c>
      <c r="AB62" s="38">
        <v>330</v>
      </c>
      <c r="AC62" s="37" t="s">
        <v>889</v>
      </c>
      <c r="AD62" s="37" t="s">
        <v>681</v>
      </c>
      <c r="AE62" s="37" t="s">
        <v>682</v>
      </c>
      <c r="AF62" s="37" t="s">
        <v>683</v>
      </c>
      <c r="AG62" s="37" t="s">
        <v>125</v>
      </c>
      <c r="AH62" s="37">
        <f>+COUNTIFS('Coded Segments'!$C$2:$C$913,SLR_Covidence_Data_Extraction__66_files[[#This Row],[Study ID_1]],'Coded Segments'!$D$2:$D$913,SLR_Covidence_Data_Extraction__66_files[[#Headers],[Adoption (AD) &gt; AD_High]])</f>
        <v>1</v>
      </c>
      <c r="AI62" s="37">
        <f>+COUNTIFS('Coded Segments'!$C$2:$C$913,SLR_Covidence_Data_Extraction__66_files[[#This Row],[Study ID_1]],'Coded Segments'!$D$2:$D$913,SLR_Covidence_Data_Extraction__66_files[[#Headers],[Adoption (AD) &gt; AD_Moderate]])</f>
        <v>0</v>
      </c>
      <c r="AJ62" s="37">
        <f>+COUNTIFS('Coded Segments'!$C$2:$C$913,SLR_Covidence_Data_Extraction__66_files[[#This Row],[Study ID_1]],'Coded Segments'!$D$2:$D$913,SLR_Covidence_Data_Extraction__66_files[[#Headers],[Adoption (AD) &gt; AD_Low]])</f>
        <v>0</v>
      </c>
      <c r="AK62" s="37">
        <f>+COUNTIFS('Coded Segments'!$C$2:$C$913,SLR_Covidence_Data_Extraction__66_files[[#This Row],[Study ID_1]],'Coded Segments'!$D$2:$D$913,SLR_Covidence_Data_Extraction__66_files[[#Headers],[Adoption (AD) &gt; AD_None]])</f>
        <v>0</v>
      </c>
      <c r="AL62" s="37">
        <f>+COUNTIFS('Coded Segments'!$C$2:$C$913,SLR_Covidence_Data_Extraction__66_files[[#This Row],[Study ID_1]],'Coded Segments'!$D$2:$D$913,SLR_Covidence_Data_Extraction__66_files[[#Headers],[Attitude (ATT) &gt; ATT_Negative]])</f>
        <v>5</v>
      </c>
      <c r="AM62" s="37">
        <f>+COUNTIFS('Coded Segments'!$C$2:$C$913,SLR_Covidence_Data_Extraction__66_files[[#This Row],[Study ID_1]],'Coded Segments'!$D$2:$D$913,SLR_Covidence_Data_Extraction__66_files[[#Headers],[Attitude (ATT) &gt; ATT_Positive]])</f>
        <v>1</v>
      </c>
      <c r="AN62" s="37">
        <f>+COUNTIFS('Coded Segments'!$C$2:$C$913,SLR_Covidence_Data_Extraction__66_files[[#This Row],[Study ID_1]],'Coded Segments'!$D$2:$D$913,SLR_Covidence_Data_Extraction__66_files[[#Headers],[Ethical Concerns (EC) &gt; EC_Bias]])</f>
        <v>0</v>
      </c>
      <c r="AO62" s="37">
        <f>+COUNTIFS('Coded Segments'!$C$2:$C$913,SLR_Covidence_Data_Extraction__66_files[[#This Row],[Study ID_1]],'Coded Segments'!$D$2:$D$913,SLR_Covidence_Data_Extraction__66_files[[#Headers],[Ethical Concerns (EC) &gt; EC_Copyright]])</f>
        <v>0</v>
      </c>
      <c r="AP62" s="37">
        <f>+COUNTIFS('Coded Segments'!$C$2:$C$913,SLR_Covidence_Data_Extraction__66_files[[#This Row],[Study ID_1]],'Coded Segments'!$D$2:$D$913,SLR_Covidence_Data_Extraction__66_files[[#Headers],[Ethical Concerns (EC) &gt; EC_Data safety &amp; confidentiality]])</f>
        <v>0</v>
      </c>
      <c r="AQ62" s="37">
        <f>+COUNTIFS('Coded Segments'!$C$2:$C$913,SLR_Covidence_Data_Extraction__66_files[[#This Row],[Study ID_1]],'Coded Segments'!$D$2:$D$913,SLR_Covidence_Data_Extraction__66_files[[#Headers],[Ethical Concerns (EC) &gt; EC_Environmental sustainability]])</f>
        <v>0</v>
      </c>
      <c r="AR62" s="37">
        <f>+COUNTIFS('Coded Segments'!$C$2:$C$913,SLR_Covidence_Data_Extraction__66_files[[#This Row],[Study ID_1]],'Coded Segments'!$D$2:$D$913,SLR_Covidence_Data_Extraction__66_files[[#Headers],[Ethical Concerns (EC) &gt; EC_Payment]])</f>
        <v>2</v>
      </c>
      <c r="AS62" s="37">
        <f>+COUNTIFS('Coded Segments'!$C$2:$C$912,SLR_Covidence_Data_Extraction__66_files[[#This Row],[Study ID_1]],'Coded Segments'!$D$2:$D$912,SLR_Covidence_Data_Extraction__66_files[[#Headers],[Ethical Concerns (EC) &gt; EC_Quality]])</f>
        <v>1</v>
      </c>
      <c r="AT62" s="37">
        <f>+COUNTIFS('Coded Segments'!$C$2:$C$913,SLR_Covidence_Data_Extraction__66_files[[#This Row],[Study ID_1]],'Coded Segments'!$D$2:$D$913,SLR_Covidence_Data_Extraction__66_files[[#Headers],[Ethical Concerns (EC) &gt; EC_Translators’ role &amp; status]])</f>
        <v>4</v>
      </c>
      <c r="AU62" s="37">
        <f>+COUNTIFS('Coded Segments'!$C$2:$C$913,SLR_Covidence_Data_Extraction__66_files[[#This Row],[Study ID_1]],'Coded Segments'!$D$2:$D$913,SLR_Covidence_Data_Extraction__66_files[[#Headers],[Ethical Concerns (EC) &gt; EC_Other]])</f>
        <v>0</v>
      </c>
      <c r="AV62" s="37">
        <f>+COUNTIFS('Coded Segments'!$C$2:$C$913,SLR_Covidence_Data_Extraction__66_files[[#This Row],[Study ID_1]],'Coded Segments'!$D$2:$D$913,SLR_Covidence_Data_Extraction__66_files[[#Headers],[Literacy (LIT) &gt; LIT_Generic]])</f>
        <v>0</v>
      </c>
      <c r="AW62" s="37">
        <f>+COUNTIFS('Coded Segments'!$C$2:$C$913,SLR_Covidence_Data_Extraction__66_files[[#This Row],[Study ID_1]],'Coded Segments'!$D$2:$D$913,SLR_Covidence_Data_Extraction__66_files[[#Headers],[Literacy (LIT) &gt; LIT_None ]])</f>
        <v>0</v>
      </c>
      <c r="AX62" s="37">
        <f>+COUNTIFS('Coded Segments'!$C$2:$C$913,SLR_Covidence_Data_Extraction__66_files[[#This Row],[Study ID_1]],'Coded Segments'!$D$2:$D$913,SLR_Covidence_Data_Extraction__66_files[[#Headers],[Literacy (LIT) &gt; LIT_Low ]])</f>
        <v>0</v>
      </c>
      <c r="AY62" s="37">
        <f>+COUNTIFS('Coded Segments'!$C$2:$C$913,SLR_Covidence_Data_Extraction__66_files[[#This Row],[Study ID_1]],'Coded Segments'!$D$2:$D$913,SLR_Covidence_Data_Extraction__66_files[[#Headers],[Literacy (LIT) &gt; LIT_High]])</f>
        <v>0</v>
      </c>
    </row>
    <row r="63" spans="1:51" x14ac:dyDescent="0.25">
      <c r="A63" s="37">
        <v>60</v>
      </c>
      <c r="B63" s="37" t="s">
        <v>272</v>
      </c>
      <c r="C63" s="37" t="s">
        <v>270</v>
      </c>
      <c r="D63" s="37" t="s">
        <v>271</v>
      </c>
      <c r="E63" s="37" t="s">
        <v>273</v>
      </c>
      <c r="F63" s="37" t="s">
        <v>274</v>
      </c>
      <c r="G63" s="37" t="s">
        <v>776</v>
      </c>
      <c r="H63" s="39" t="s">
        <v>837</v>
      </c>
      <c r="I63" s="39" t="str">
        <f>LEFT(SLR_Covidence_Data_Extraction__66_files[[#This Row],[Publication date]],4)</f>
        <v>2025</v>
      </c>
      <c r="J63" s="37" t="s">
        <v>776</v>
      </c>
      <c r="K63" s="37" t="s">
        <v>275</v>
      </c>
      <c r="N63" s="37" t="s">
        <v>1480</v>
      </c>
      <c r="P63" s="37" t="s">
        <v>26</v>
      </c>
      <c r="Q63" s="37" t="s">
        <v>26</v>
      </c>
      <c r="S63" s="37" t="s">
        <v>25</v>
      </c>
      <c r="T63" s="37" t="s">
        <v>25</v>
      </c>
      <c r="U63" s="37" t="s">
        <v>61</v>
      </c>
      <c r="V63" s="37" t="s">
        <v>32</v>
      </c>
      <c r="X63" s="37" t="s">
        <v>276</v>
      </c>
      <c r="Y63" s="37" t="s">
        <v>1475</v>
      </c>
      <c r="Z63" s="37" t="s">
        <v>1563</v>
      </c>
      <c r="AA63" s="37" t="s">
        <v>1463</v>
      </c>
      <c r="AB63" s="38">
        <v>50</v>
      </c>
      <c r="AC63" s="37" t="s">
        <v>838</v>
      </c>
      <c r="AD63" s="37" t="s">
        <v>277</v>
      </c>
      <c r="AE63" s="37" t="s">
        <v>278</v>
      </c>
      <c r="AF63" s="37" t="s">
        <v>279</v>
      </c>
      <c r="AG63" s="37" t="s">
        <v>64</v>
      </c>
      <c r="AH63" s="37">
        <f>+COUNTIFS('Coded Segments'!$C$2:$C$913,SLR_Covidence_Data_Extraction__66_files[[#This Row],[Study ID_1]],'Coded Segments'!$D$2:$D$913,SLR_Covidence_Data_Extraction__66_files[[#Headers],[Adoption (AD) &gt; AD_High]])</f>
        <v>1</v>
      </c>
      <c r="AI63" s="37">
        <f>+COUNTIFS('Coded Segments'!$C$2:$C$913,SLR_Covidence_Data_Extraction__66_files[[#This Row],[Study ID_1]],'Coded Segments'!$D$2:$D$913,SLR_Covidence_Data_Extraction__66_files[[#Headers],[Adoption (AD) &gt; AD_Moderate]])</f>
        <v>0</v>
      </c>
      <c r="AJ63" s="37">
        <f>+COUNTIFS('Coded Segments'!$C$2:$C$913,SLR_Covidence_Data_Extraction__66_files[[#This Row],[Study ID_1]],'Coded Segments'!$D$2:$D$913,SLR_Covidence_Data_Extraction__66_files[[#Headers],[Adoption (AD) &gt; AD_Low]])</f>
        <v>0</v>
      </c>
      <c r="AK63" s="37">
        <f>+COUNTIFS('Coded Segments'!$C$2:$C$913,SLR_Covidence_Data_Extraction__66_files[[#This Row],[Study ID_1]],'Coded Segments'!$D$2:$D$913,SLR_Covidence_Data_Extraction__66_files[[#Headers],[Adoption (AD) &gt; AD_None]])</f>
        <v>0</v>
      </c>
      <c r="AL63" s="37">
        <f>+COUNTIFS('Coded Segments'!$C$2:$C$913,SLR_Covidence_Data_Extraction__66_files[[#This Row],[Study ID_1]],'Coded Segments'!$D$2:$D$913,SLR_Covidence_Data_Extraction__66_files[[#Headers],[Attitude (ATT) &gt; ATT_Negative]])</f>
        <v>2</v>
      </c>
      <c r="AM63" s="37">
        <f>+COUNTIFS('Coded Segments'!$C$2:$C$913,SLR_Covidence_Data_Extraction__66_files[[#This Row],[Study ID_1]],'Coded Segments'!$D$2:$D$913,SLR_Covidence_Data_Extraction__66_files[[#Headers],[Attitude (ATT) &gt; ATT_Positive]])</f>
        <v>0</v>
      </c>
      <c r="AN63" s="37">
        <f>+COUNTIFS('Coded Segments'!$C$2:$C$913,SLR_Covidence_Data_Extraction__66_files[[#This Row],[Study ID_1]],'Coded Segments'!$D$2:$D$913,SLR_Covidence_Data_Extraction__66_files[[#Headers],[Ethical Concerns (EC) &gt; EC_Bias]])</f>
        <v>0</v>
      </c>
      <c r="AO63" s="37">
        <f>+COUNTIFS('Coded Segments'!$C$2:$C$913,SLR_Covidence_Data_Extraction__66_files[[#This Row],[Study ID_1]],'Coded Segments'!$D$2:$D$913,SLR_Covidence_Data_Extraction__66_files[[#Headers],[Ethical Concerns (EC) &gt; EC_Copyright]])</f>
        <v>0</v>
      </c>
      <c r="AP63" s="37">
        <f>+COUNTIFS('Coded Segments'!$C$2:$C$913,SLR_Covidence_Data_Extraction__66_files[[#This Row],[Study ID_1]],'Coded Segments'!$D$2:$D$913,SLR_Covidence_Data_Extraction__66_files[[#Headers],[Ethical Concerns (EC) &gt; EC_Data safety &amp; confidentiality]])</f>
        <v>0</v>
      </c>
      <c r="AQ63" s="37">
        <f>+COUNTIFS('Coded Segments'!$C$2:$C$913,SLR_Covidence_Data_Extraction__66_files[[#This Row],[Study ID_1]],'Coded Segments'!$D$2:$D$913,SLR_Covidence_Data_Extraction__66_files[[#Headers],[Ethical Concerns (EC) &gt; EC_Environmental sustainability]])</f>
        <v>0</v>
      </c>
      <c r="AR63" s="37">
        <f>+COUNTIFS('Coded Segments'!$C$2:$C$913,SLR_Covidence_Data_Extraction__66_files[[#This Row],[Study ID_1]],'Coded Segments'!$D$2:$D$913,SLR_Covidence_Data_Extraction__66_files[[#Headers],[Ethical Concerns (EC) &gt; EC_Payment]])</f>
        <v>2</v>
      </c>
      <c r="AS63" s="37">
        <f>+COUNTIFS('Coded Segments'!$C$2:$C$912,SLR_Covidence_Data_Extraction__66_files[[#This Row],[Study ID_1]],'Coded Segments'!$D$2:$D$912,SLR_Covidence_Data_Extraction__66_files[[#Headers],[Ethical Concerns (EC) &gt; EC_Quality]])</f>
        <v>0</v>
      </c>
      <c r="AT63" s="37">
        <f>+COUNTIFS('Coded Segments'!$C$2:$C$913,SLR_Covidence_Data_Extraction__66_files[[#This Row],[Study ID_1]],'Coded Segments'!$D$2:$D$913,SLR_Covidence_Data_Extraction__66_files[[#Headers],[Ethical Concerns (EC) &gt; EC_Translators’ role &amp; status]])</f>
        <v>2</v>
      </c>
      <c r="AU63" s="37">
        <f>+COUNTIFS('Coded Segments'!$C$2:$C$913,SLR_Covidence_Data_Extraction__66_files[[#This Row],[Study ID_1]],'Coded Segments'!$D$2:$D$913,SLR_Covidence_Data_Extraction__66_files[[#Headers],[Ethical Concerns (EC) &gt; EC_Other]])</f>
        <v>0</v>
      </c>
      <c r="AV63" s="37">
        <f>+COUNTIFS('Coded Segments'!$C$2:$C$913,SLR_Covidence_Data_Extraction__66_files[[#This Row],[Study ID_1]],'Coded Segments'!$D$2:$D$913,SLR_Covidence_Data_Extraction__66_files[[#Headers],[Literacy (LIT) &gt; LIT_Generic]])</f>
        <v>0</v>
      </c>
      <c r="AW63" s="37">
        <f>+COUNTIFS('Coded Segments'!$C$2:$C$913,SLR_Covidence_Data_Extraction__66_files[[#This Row],[Study ID_1]],'Coded Segments'!$D$2:$D$913,SLR_Covidence_Data_Extraction__66_files[[#Headers],[Literacy (LIT) &gt; LIT_None ]])</f>
        <v>0</v>
      </c>
      <c r="AX63" s="37">
        <f>+COUNTIFS('Coded Segments'!$C$2:$C$913,SLR_Covidence_Data_Extraction__66_files[[#This Row],[Study ID_1]],'Coded Segments'!$D$2:$D$913,SLR_Covidence_Data_Extraction__66_files[[#Headers],[Literacy (LIT) &gt; LIT_Low ]])</f>
        <v>0</v>
      </c>
      <c r="AY63" s="37">
        <f>+COUNTIFS('Coded Segments'!$C$2:$C$913,SLR_Covidence_Data_Extraction__66_files[[#This Row],[Study ID_1]],'Coded Segments'!$D$2:$D$913,SLR_Covidence_Data_Extraction__66_files[[#Headers],[Literacy (LIT) &gt; LIT_High]])</f>
        <v>0</v>
      </c>
    </row>
    <row r="64" spans="1:51" x14ac:dyDescent="0.25">
      <c r="A64" s="37">
        <v>69</v>
      </c>
      <c r="B64" s="37" t="s">
        <v>211</v>
      </c>
      <c r="C64" s="37" t="s">
        <v>210</v>
      </c>
      <c r="D64" s="37" t="s">
        <v>212</v>
      </c>
      <c r="E64" s="37" t="s">
        <v>213</v>
      </c>
      <c r="F64" s="37" t="s">
        <v>214</v>
      </c>
      <c r="G64" s="37" t="s">
        <v>1437</v>
      </c>
      <c r="H64" s="39" t="s">
        <v>826</v>
      </c>
      <c r="I64" s="39" t="str">
        <f>LEFT(SLR_Covidence_Data_Extraction__66_files[[#This Row],[Publication date]],4)</f>
        <v>2025</v>
      </c>
      <c r="J64" s="37" t="s">
        <v>769</v>
      </c>
      <c r="K64" s="37" t="s">
        <v>215</v>
      </c>
      <c r="L64" s="37" t="s">
        <v>1478</v>
      </c>
      <c r="P64" s="37" t="s">
        <v>26</v>
      </c>
      <c r="Q64" s="37" t="s">
        <v>26</v>
      </c>
      <c r="S64" s="37" t="s">
        <v>25</v>
      </c>
      <c r="T64" s="37" t="s">
        <v>216</v>
      </c>
      <c r="U64" s="37" t="s">
        <v>217</v>
      </c>
      <c r="V64" s="37" t="s">
        <v>32</v>
      </c>
      <c r="X64" s="37" t="s">
        <v>26</v>
      </c>
      <c r="Y64" s="37" t="s">
        <v>218</v>
      </c>
      <c r="Z64" s="37" t="s">
        <v>136</v>
      </c>
      <c r="AA64" s="37" t="s">
        <v>1463</v>
      </c>
      <c r="AB64" s="38">
        <v>505</v>
      </c>
      <c r="AC64" s="37" t="s">
        <v>827</v>
      </c>
      <c r="AD64" s="37" t="s">
        <v>219</v>
      </c>
      <c r="AE64" s="37" t="s">
        <v>220</v>
      </c>
      <c r="AF64" s="37" t="s">
        <v>221</v>
      </c>
      <c r="AG64" s="37" t="s">
        <v>140</v>
      </c>
      <c r="AH64" s="37">
        <f>+COUNTIFS('Coded Segments'!$C$2:$C$913,SLR_Covidence_Data_Extraction__66_files[[#This Row],[Study ID_1]],'Coded Segments'!$D$2:$D$913,SLR_Covidence_Data_Extraction__66_files[[#Headers],[Adoption (AD) &gt; AD_High]])</f>
        <v>0</v>
      </c>
      <c r="AI64" s="37">
        <f>+COUNTIFS('Coded Segments'!$C$2:$C$913,SLR_Covidence_Data_Extraction__66_files[[#This Row],[Study ID_1]],'Coded Segments'!$D$2:$D$913,SLR_Covidence_Data_Extraction__66_files[[#Headers],[Adoption (AD) &gt; AD_Moderate]])</f>
        <v>0</v>
      </c>
      <c r="AJ64" s="37">
        <f>+COUNTIFS('Coded Segments'!$C$2:$C$913,SLR_Covidence_Data_Extraction__66_files[[#This Row],[Study ID_1]],'Coded Segments'!$D$2:$D$913,SLR_Covidence_Data_Extraction__66_files[[#Headers],[Adoption (AD) &gt; AD_Low]])</f>
        <v>0</v>
      </c>
      <c r="AK64" s="37">
        <f>+COUNTIFS('Coded Segments'!$C$2:$C$913,SLR_Covidence_Data_Extraction__66_files[[#This Row],[Study ID_1]],'Coded Segments'!$D$2:$D$913,SLR_Covidence_Data_Extraction__66_files[[#Headers],[Adoption (AD) &gt; AD_None]])</f>
        <v>0</v>
      </c>
      <c r="AL64" s="37">
        <f>+COUNTIFS('Coded Segments'!$C$2:$C$913,SLR_Covidence_Data_Extraction__66_files[[#This Row],[Study ID_1]],'Coded Segments'!$D$2:$D$913,SLR_Covidence_Data_Extraction__66_files[[#Headers],[Attitude (ATT) &gt; ATT_Negative]])</f>
        <v>3</v>
      </c>
      <c r="AM64" s="37">
        <f>+COUNTIFS('Coded Segments'!$C$2:$C$913,SLR_Covidence_Data_Extraction__66_files[[#This Row],[Study ID_1]],'Coded Segments'!$D$2:$D$913,SLR_Covidence_Data_Extraction__66_files[[#Headers],[Attitude (ATT) &gt; ATT_Positive]])</f>
        <v>3</v>
      </c>
      <c r="AN64" s="37">
        <f>+COUNTIFS('Coded Segments'!$C$2:$C$913,SLR_Covidence_Data_Extraction__66_files[[#This Row],[Study ID_1]],'Coded Segments'!$D$2:$D$913,SLR_Covidence_Data_Extraction__66_files[[#Headers],[Ethical Concerns (EC) &gt; EC_Bias]])</f>
        <v>0</v>
      </c>
      <c r="AO64" s="37">
        <f>+COUNTIFS('Coded Segments'!$C$2:$C$913,SLR_Covidence_Data_Extraction__66_files[[#This Row],[Study ID_1]],'Coded Segments'!$D$2:$D$913,SLR_Covidence_Data_Extraction__66_files[[#Headers],[Ethical Concerns (EC) &gt; EC_Copyright]])</f>
        <v>0</v>
      </c>
      <c r="AP64" s="37">
        <f>+COUNTIFS('Coded Segments'!$C$2:$C$913,SLR_Covidence_Data_Extraction__66_files[[#This Row],[Study ID_1]],'Coded Segments'!$D$2:$D$913,SLR_Covidence_Data_Extraction__66_files[[#Headers],[Ethical Concerns (EC) &gt; EC_Data safety &amp; confidentiality]])</f>
        <v>0</v>
      </c>
      <c r="AQ64" s="37">
        <f>+COUNTIFS('Coded Segments'!$C$2:$C$913,SLR_Covidence_Data_Extraction__66_files[[#This Row],[Study ID_1]],'Coded Segments'!$D$2:$D$913,SLR_Covidence_Data_Extraction__66_files[[#Headers],[Ethical Concerns (EC) &gt; EC_Environmental sustainability]])</f>
        <v>0</v>
      </c>
      <c r="AR64" s="37">
        <f>+COUNTIFS('Coded Segments'!$C$2:$C$913,SLR_Covidence_Data_Extraction__66_files[[#This Row],[Study ID_1]],'Coded Segments'!$D$2:$D$913,SLR_Covidence_Data_Extraction__66_files[[#Headers],[Ethical Concerns (EC) &gt; EC_Payment]])</f>
        <v>0</v>
      </c>
      <c r="AS64" s="37">
        <f>+COUNTIFS('Coded Segments'!$C$2:$C$912,SLR_Covidence_Data_Extraction__66_files[[#This Row],[Study ID_1]],'Coded Segments'!$D$2:$D$912,SLR_Covidence_Data_Extraction__66_files[[#Headers],[Ethical Concerns (EC) &gt; EC_Quality]])</f>
        <v>3</v>
      </c>
      <c r="AT64" s="37">
        <f>+COUNTIFS('Coded Segments'!$C$2:$C$913,SLR_Covidence_Data_Extraction__66_files[[#This Row],[Study ID_1]],'Coded Segments'!$D$2:$D$913,SLR_Covidence_Data_Extraction__66_files[[#Headers],[Ethical Concerns (EC) &gt; EC_Translators’ role &amp; status]])</f>
        <v>3</v>
      </c>
      <c r="AU64" s="37">
        <f>+COUNTIFS('Coded Segments'!$C$2:$C$913,SLR_Covidence_Data_Extraction__66_files[[#This Row],[Study ID_1]],'Coded Segments'!$D$2:$D$913,SLR_Covidence_Data_Extraction__66_files[[#Headers],[Ethical Concerns (EC) &gt; EC_Other]])</f>
        <v>0</v>
      </c>
      <c r="AV64" s="37">
        <f>+COUNTIFS('Coded Segments'!$C$2:$C$913,SLR_Covidence_Data_Extraction__66_files[[#This Row],[Study ID_1]],'Coded Segments'!$D$2:$D$913,SLR_Covidence_Data_Extraction__66_files[[#Headers],[Literacy (LIT) &gt; LIT_Generic]])</f>
        <v>1</v>
      </c>
      <c r="AW64" s="37">
        <f>+COUNTIFS('Coded Segments'!$C$2:$C$913,SLR_Covidence_Data_Extraction__66_files[[#This Row],[Study ID_1]],'Coded Segments'!$D$2:$D$913,SLR_Covidence_Data_Extraction__66_files[[#Headers],[Literacy (LIT) &gt; LIT_None ]])</f>
        <v>0</v>
      </c>
      <c r="AX64" s="37">
        <f>+COUNTIFS('Coded Segments'!$C$2:$C$913,SLR_Covidence_Data_Extraction__66_files[[#This Row],[Study ID_1]],'Coded Segments'!$D$2:$D$913,SLR_Covidence_Data_Extraction__66_files[[#Headers],[Literacy (LIT) &gt; LIT_Low ]])</f>
        <v>0</v>
      </c>
      <c r="AY64" s="37">
        <f>+COUNTIFS('Coded Segments'!$C$2:$C$913,SLR_Covidence_Data_Extraction__66_files[[#This Row],[Study ID_1]],'Coded Segments'!$D$2:$D$913,SLR_Covidence_Data_Extraction__66_files[[#Headers],[Literacy (LIT) &gt; LIT_High]])</f>
        <v>0</v>
      </c>
    </row>
    <row r="65" spans="1:51" x14ac:dyDescent="0.25">
      <c r="A65" s="37">
        <v>79</v>
      </c>
      <c r="B65" s="37" t="s">
        <v>85</v>
      </c>
      <c r="C65" s="37" t="s">
        <v>83</v>
      </c>
      <c r="D65" s="37" t="s">
        <v>84</v>
      </c>
      <c r="E65" s="37" t="s">
        <v>86</v>
      </c>
      <c r="F65" s="37" t="s">
        <v>87</v>
      </c>
      <c r="G65" s="37" t="s">
        <v>88</v>
      </c>
      <c r="H65" s="39" t="s">
        <v>810</v>
      </c>
      <c r="I65" s="39" t="str">
        <f>LEFT(SLR_Covidence_Data_Extraction__66_files[[#This Row],[Publication date]],4)</f>
        <v>2025</v>
      </c>
      <c r="J65" s="37" t="s">
        <v>88</v>
      </c>
      <c r="K65" s="37" t="s">
        <v>89</v>
      </c>
      <c r="L65" s="37" t="s">
        <v>1478</v>
      </c>
      <c r="P65" s="37" t="s">
        <v>28</v>
      </c>
      <c r="Q65" s="37" t="s">
        <v>28</v>
      </c>
      <c r="R65" s="37">
        <v>32</v>
      </c>
      <c r="S65" s="37" t="s">
        <v>90</v>
      </c>
      <c r="T65" s="37" t="s">
        <v>90</v>
      </c>
      <c r="U65" s="37" t="s">
        <v>31</v>
      </c>
      <c r="V65" s="37" t="s">
        <v>32</v>
      </c>
      <c r="X65" s="37" t="s">
        <v>26</v>
      </c>
      <c r="Y65" s="37" t="s">
        <v>91</v>
      </c>
      <c r="Z65" s="37" t="s">
        <v>136</v>
      </c>
      <c r="AA65" s="37" t="s">
        <v>1463</v>
      </c>
      <c r="AB65" s="38">
        <v>79</v>
      </c>
      <c r="AC65" s="37" t="s">
        <v>812</v>
      </c>
      <c r="AD65" s="37" t="s">
        <v>92</v>
      </c>
      <c r="AE65" s="37" t="s">
        <v>93</v>
      </c>
      <c r="AF65" s="37" t="s">
        <v>94</v>
      </c>
      <c r="AG65" s="37" t="s">
        <v>95</v>
      </c>
      <c r="AH65" s="37">
        <f>+COUNTIFS('Coded Segments'!$C$2:$C$913,SLR_Covidence_Data_Extraction__66_files[[#This Row],[Study ID_1]],'Coded Segments'!$D$2:$D$913,SLR_Covidence_Data_Extraction__66_files[[#Headers],[Adoption (AD) &gt; AD_High]])</f>
        <v>0</v>
      </c>
      <c r="AI65" s="37">
        <f>+COUNTIFS('Coded Segments'!$C$2:$C$913,SLR_Covidence_Data_Extraction__66_files[[#This Row],[Study ID_1]],'Coded Segments'!$D$2:$D$913,SLR_Covidence_Data_Extraction__66_files[[#Headers],[Adoption (AD) &gt; AD_Moderate]])</f>
        <v>1</v>
      </c>
      <c r="AJ65" s="37">
        <f>+COUNTIFS('Coded Segments'!$C$2:$C$913,SLR_Covidence_Data_Extraction__66_files[[#This Row],[Study ID_1]],'Coded Segments'!$D$2:$D$913,SLR_Covidence_Data_Extraction__66_files[[#Headers],[Adoption (AD) &gt; AD_Low]])</f>
        <v>1</v>
      </c>
      <c r="AK65" s="37">
        <f>+COUNTIFS('Coded Segments'!$C$2:$C$913,SLR_Covidence_Data_Extraction__66_files[[#This Row],[Study ID_1]],'Coded Segments'!$D$2:$D$913,SLR_Covidence_Data_Extraction__66_files[[#Headers],[Adoption (AD) &gt; AD_None]])</f>
        <v>0</v>
      </c>
      <c r="AL65" s="37">
        <f>+COUNTIFS('Coded Segments'!$C$2:$C$913,SLR_Covidence_Data_Extraction__66_files[[#This Row],[Study ID_1]],'Coded Segments'!$D$2:$D$913,SLR_Covidence_Data_Extraction__66_files[[#Headers],[Attitude (ATT) &gt; ATT_Negative]])</f>
        <v>6</v>
      </c>
      <c r="AM65" s="37">
        <f>+COUNTIFS('Coded Segments'!$C$2:$C$913,SLR_Covidence_Data_Extraction__66_files[[#This Row],[Study ID_1]],'Coded Segments'!$D$2:$D$913,SLR_Covidence_Data_Extraction__66_files[[#Headers],[Attitude (ATT) &gt; ATT_Positive]])</f>
        <v>2</v>
      </c>
      <c r="AN65" s="37">
        <f>+COUNTIFS('Coded Segments'!$C$2:$C$913,SLR_Covidence_Data_Extraction__66_files[[#This Row],[Study ID_1]],'Coded Segments'!$D$2:$D$913,SLR_Covidence_Data_Extraction__66_files[[#Headers],[Ethical Concerns (EC) &gt; EC_Bias]])</f>
        <v>0</v>
      </c>
      <c r="AO65" s="37">
        <f>+COUNTIFS('Coded Segments'!$C$2:$C$913,SLR_Covidence_Data_Extraction__66_files[[#This Row],[Study ID_1]],'Coded Segments'!$D$2:$D$913,SLR_Covidence_Data_Extraction__66_files[[#Headers],[Ethical Concerns (EC) &gt; EC_Copyright]])</f>
        <v>0</v>
      </c>
      <c r="AP65" s="37">
        <f>+COUNTIFS('Coded Segments'!$C$2:$C$913,SLR_Covidence_Data_Extraction__66_files[[#This Row],[Study ID_1]],'Coded Segments'!$D$2:$D$913,SLR_Covidence_Data_Extraction__66_files[[#Headers],[Ethical Concerns (EC) &gt; EC_Data safety &amp; confidentiality]])</f>
        <v>2</v>
      </c>
      <c r="AQ65" s="37">
        <f>+COUNTIFS('Coded Segments'!$C$2:$C$913,SLR_Covidence_Data_Extraction__66_files[[#This Row],[Study ID_1]],'Coded Segments'!$D$2:$D$913,SLR_Covidence_Data_Extraction__66_files[[#Headers],[Ethical Concerns (EC) &gt; EC_Environmental sustainability]])</f>
        <v>0</v>
      </c>
      <c r="AR65" s="37">
        <f>+COUNTIFS('Coded Segments'!$C$2:$C$913,SLR_Covidence_Data_Extraction__66_files[[#This Row],[Study ID_1]],'Coded Segments'!$D$2:$D$913,SLR_Covidence_Data_Extraction__66_files[[#Headers],[Ethical Concerns (EC) &gt; EC_Payment]])</f>
        <v>2</v>
      </c>
      <c r="AS65" s="37">
        <f>+COUNTIFS('Coded Segments'!$C$2:$C$912,SLR_Covidence_Data_Extraction__66_files[[#This Row],[Study ID_1]],'Coded Segments'!$D$2:$D$912,SLR_Covidence_Data_Extraction__66_files[[#Headers],[Ethical Concerns (EC) &gt; EC_Quality]])</f>
        <v>0</v>
      </c>
      <c r="AT65" s="37">
        <f>+COUNTIFS('Coded Segments'!$C$2:$C$913,SLR_Covidence_Data_Extraction__66_files[[#This Row],[Study ID_1]],'Coded Segments'!$D$2:$D$913,SLR_Covidence_Data_Extraction__66_files[[#Headers],[Ethical Concerns (EC) &gt; EC_Translators’ role &amp; status]])</f>
        <v>7</v>
      </c>
      <c r="AU65" s="37">
        <f>+COUNTIFS('Coded Segments'!$C$2:$C$913,SLR_Covidence_Data_Extraction__66_files[[#This Row],[Study ID_1]],'Coded Segments'!$D$2:$D$913,SLR_Covidence_Data_Extraction__66_files[[#Headers],[Ethical Concerns (EC) &gt; EC_Other]])</f>
        <v>0</v>
      </c>
      <c r="AV65" s="37">
        <f>+COUNTIFS('Coded Segments'!$C$2:$C$913,SLR_Covidence_Data_Extraction__66_files[[#This Row],[Study ID_1]],'Coded Segments'!$D$2:$D$913,SLR_Covidence_Data_Extraction__66_files[[#Headers],[Literacy (LIT) &gt; LIT_Generic]])</f>
        <v>0</v>
      </c>
      <c r="AW65" s="37">
        <f>+COUNTIFS('Coded Segments'!$C$2:$C$913,SLR_Covidence_Data_Extraction__66_files[[#This Row],[Study ID_1]],'Coded Segments'!$D$2:$D$913,SLR_Covidence_Data_Extraction__66_files[[#Headers],[Literacy (LIT) &gt; LIT_None ]])</f>
        <v>0</v>
      </c>
      <c r="AX65" s="37">
        <f>+COUNTIFS('Coded Segments'!$C$2:$C$913,SLR_Covidence_Data_Extraction__66_files[[#This Row],[Study ID_1]],'Coded Segments'!$D$2:$D$913,SLR_Covidence_Data_Extraction__66_files[[#Headers],[Literacy (LIT) &gt; LIT_Low ]])</f>
        <v>1</v>
      </c>
      <c r="AY65" s="37">
        <f>+COUNTIFS('Coded Segments'!$C$2:$C$913,SLR_Covidence_Data_Extraction__66_files[[#This Row],[Study ID_1]],'Coded Segments'!$D$2:$D$913,SLR_Covidence_Data_Extraction__66_files[[#Headers],[Literacy (LIT) &gt; LIT_High]])</f>
        <v>0</v>
      </c>
    </row>
    <row r="66" spans="1:51" x14ac:dyDescent="0.25">
      <c r="A66" s="37">
        <v>50</v>
      </c>
      <c r="B66" s="37" t="s">
        <v>386</v>
      </c>
      <c r="C66" s="37" t="s">
        <v>385</v>
      </c>
      <c r="D66" s="37" t="s">
        <v>387</v>
      </c>
      <c r="E66" s="37" t="s">
        <v>388</v>
      </c>
      <c r="F66" s="37" t="s">
        <v>389</v>
      </c>
      <c r="G66" s="37" t="s">
        <v>1477</v>
      </c>
      <c r="H66" s="39" t="s">
        <v>853</v>
      </c>
      <c r="I66" s="39" t="str">
        <f>LEFT(SLR_Covidence_Data_Extraction__66_files[[#This Row],[Publication date]],4)</f>
        <v>2025</v>
      </c>
      <c r="J66" s="37" t="s">
        <v>146</v>
      </c>
      <c r="K66" s="37" t="s">
        <v>390</v>
      </c>
      <c r="L66" s="37" t="s">
        <v>1478</v>
      </c>
      <c r="P66" s="37" t="s">
        <v>173</v>
      </c>
      <c r="Q66" s="37" t="s">
        <v>48</v>
      </c>
      <c r="R66" s="37">
        <v>28</v>
      </c>
      <c r="S66" s="37" t="s">
        <v>391</v>
      </c>
      <c r="T66" s="37" t="s">
        <v>392</v>
      </c>
      <c r="U66" s="37" t="s">
        <v>77</v>
      </c>
      <c r="V66" s="37" t="s">
        <v>32</v>
      </c>
      <c r="X66" s="37" t="s">
        <v>26</v>
      </c>
      <c r="Y66" s="37" t="s">
        <v>393</v>
      </c>
      <c r="Z66" s="37" t="s">
        <v>136</v>
      </c>
      <c r="AA66" s="37" t="s">
        <v>1463</v>
      </c>
      <c r="AB66" s="38">
        <v>50</v>
      </c>
      <c r="AC66" s="37" t="s">
        <v>838</v>
      </c>
      <c r="AD66" s="37" t="s">
        <v>394</v>
      </c>
      <c r="AE66" s="37" t="s">
        <v>395</v>
      </c>
      <c r="AF66" s="37" t="s">
        <v>396</v>
      </c>
      <c r="AG66" s="37" t="s">
        <v>64</v>
      </c>
      <c r="AH66" s="37">
        <f>+COUNTIFS('Coded Segments'!$C$2:$C$913,SLR_Covidence_Data_Extraction__66_files[[#This Row],[Study ID_1]],'Coded Segments'!$D$2:$D$913,SLR_Covidence_Data_Extraction__66_files[[#Headers],[Adoption (AD) &gt; AD_High]])</f>
        <v>1</v>
      </c>
      <c r="AI66" s="37">
        <f>+COUNTIFS('Coded Segments'!$C$2:$C$913,SLR_Covidence_Data_Extraction__66_files[[#This Row],[Study ID_1]],'Coded Segments'!$D$2:$D$913,SLR_Covidence_Data_Extraction__66_files[[#Headers],[Adoption (AD) &gt; AD_Moderate]])</f>
        <v>0</v>
      </c>
      <c r="AJ66" s="37">
        <f>+COUNTIFS('Coded Segments'!$C$2:$C$913,SLR_Covidence_Data_Extraction__66_files[[#This Row],[Study ID_1]],'Coded Segments'!$D$2:$D$913,SLR_Covidence_Data_Extraction__66_files[[#Headers],[Adoption (AD) &gt; AD_Low]])</f>
        <v>0</v>
      </c>
      <c r="AK66" s="37">
        <f>+COUNTIFS('Coded Segments'!$C$2:$C$913,SLR_Covidence_Data_Extraction__66_files[[#This Row],[Study ID_1]],'Coded Segments'!$D$2:$D$913,SLR_Covidence_Data_Extraction__66_files[[#Headers],[Adoption (AD) &gt; AD_None]])</f>
        <v>0</v>
      </c>
      <c r="AL66" s="37">
        <f>+COUNTIFS('Coded Segments'!$C$2:$C$913,SLR_Covidence_Data_Extraction__66_files[[#This Row],[Study ID_1]],'Coded Segments'!$D$2:$D$913,SLR_Covidence_Data_Extraction__66_files[[#Headers],[Attitude (ATT) &gt; ATT_Negative]])</f>
        <v>5</v>
      </c>
      <c r="AM66" s="37">
        <f>+COUNTIFS('Coded Segments'!$C$2:$C$913,SLR_Covidence_Data_Extraction__66_files[[#This Row],[Study ID_1]],'Coded Segments'!$D$2:$D$913,SLR_Covidence_Data_Extraction__66_files[[#Headers],[Attitude (ATT) &gt; ATT_Positive]])</f>
        <v>1</v>
      </c>
      <c r="AN66" s="37">
        <f>+COUNTIFS('Coded Segments'!$C$2:$C$913,SLR_Covidence_Data_Extraction__66_files[[#This Row],[Study ID_1]],'Coded Segments'!$D$2:$D$913,SLR_Covidence_Data_Extraction__66_files[[#Headers],[Ethical Concerns (EC) &gt; EC_Bias]])</f>
        <v>0</v>
      </c>
      <c r="AO66" s="37">
        <f>+COUNTIFS('Coded Segments'!$C$2:$C$913,SLR_Covidence_Data_Extraction__66_files[[#This Row],[Study ID_1]],'Coded Segments'!$D$2:$D$913,SLR_Covidence_Data_Extraction__66_files[[#Headers],[Ethical Concerns (EC) &gt; EC_Copyright]])</f>
        <v>0</v>
      </c>
      <c r="AP66" s="37">
        <f>+COUNTIFS('Coded Segments'!$C$2:$C$913,SLR_Covidence_Data_Extraction__66_files[[#This Row],[Study ID_1]],'Coded Segments'!$D$2:$D$913,SLR_Covidence_Data_Extraction__66_files[[#Headers],[Ethical Concerns (EC) &gt; EC_Data safety &amp; confidentiality]])</f>
        <v>0</v>
      </c>
      <c r="AQ66" s="37">
        <f>+COUNTIFS('Coded Segments'!$C$2:$C$913,SLR_Covidence_Data_Extraction__66_files[[#This Row],[Study ID_1]],'Coded Segments'!$D$2:$D$913,SLR_Covidence_Data_Extraction__66_files[[#Headers],[Ethical Concerns (EC) &gt; EC_Environmental sustainability]])</f>
        <v>0</v>
      </c>
      <c r="AR66" s="37">
        <f>+COUNTIFS('Coded Segments'!$C$2:$C$913,SLR_Covidence_Data_Extraction__66_files[[#This Row],[Study ID_1]],'Coded Segments'!$D$2:$D$913,SLR_Covidence_Data_Extraction__66_files[[#Headers],[Ethical Concerns (EC) &gt; EC_Payment]])</f>
        <v>1</v>
      </c>
      <c r="AS66" s="37">
        <f>+COUNTIFS('Coded Segments'!$C$2:$C$912,SLR_Covidence_Data_Extraction__66_files[[#This Row],[Study ID_1]],'Coded Segments'!$D$2:$D$912,SLR_Covidence_Data_Extraction__66_files[[#Headers],[Ethical Concerns (EC) &gt; EC_Quality]])</f>
        <v>2</v>
      </c>
      <c r="AT66" s="37">
        <f>+COUNTIFS('Coded Segments'!$C$2:$C$913,SLR_Covidence_Data_Extraction__66_files[[#This Row],[Study ID_1]],'Coded Segments'!$D$2:$D$913,SLR_Covidence_Data_Extraction__66_files[[#Headers],[Ethical Concerns (EC) &gt; EC_Translators’ role &amp; status]])</f>
        <v>7</v>
      </c>
      <c r="AU66" s="37">
        <f>+COUNTIFS('Coded Segments'!$C$2:$C$913,SLR_Covidence_Data_Extraction__66_files[[#This Row],[Study ID_1]],'Coded Segments'!$D$2:$D$913,SLR_Covidence_Data_Extraction__66_files[[#Headers],[Ethical Concerns (EC) &gt; EC_Other]])</f>
        <v>0</v>
      </c>
      <c r="AV66" s="37">
        <f>+COUNTIFS('Coded Segments'!$C$2:$C$913,SLR_Covidence_Data_Extraction__66_files[[#This Row],[Study ID_1]],'Coded Segments'!$D$2:$D$913,SLR_Covidence_Data_Extraction__66_files[[#Headers],[Literacy (LIT) &gt; LIT_Generic]])</f>
        <v>0</v>
      </c>
      <c r="AW66" s="37">
        <f>+COUNTIFS('Coded Segments'!$C$2:$C$913,SLR_Covidence_Data_Extraction__66_files[[#This Row],[Study ID_1]],'Coded Segments'!$D$2:$D$913,SLR_Covidence_Data_Extraction__66_files[[#Headers],[Literacy (LIT) &gt; LIT_None ]])</f>
        <v>0</v>
      </c>
      <c r="AX66" s="37">
        <f>+COUNTIFS('Coded Segments'!$C$2:$C$913,SLR_Covidence_Data_Extraction__66_files[[#This Row],[Study ID_1]],'Coded Segments'!$D$2:$D$913,SLR_Covidence_Data_Extraction__66_files[[#Headers],[Literacy (LIT) &gt; LIT_Low ]])</f>
        <v>1</v>
      </c>
      <c r="AY66" s="37">
        <f>+COUNTIFS('Coded Segments'!$C$2:$C$913,SLR_Covidence_Data_Extraction__66_files[[#This Row],[Study ID_1]],'Coded Segments'!$D$2:$D$913,SLR_Covidence_Data_Extraction__66_files[[#Headers],[Literacy (LIT) &gt; LIT_High]])</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51E80-54B6-4829-B198-98091098F55C}">
  <dimension ref="A1:K8"/>
  <sheetViews>
    <sheetView workbookViewId="0"/>
  </sheetViews>
  <sheetFormatPr defaultRowHeight="15" x14ac:dyDescent="0.25"/>
  <cols>
    <col min="1" max="1" width="12.140625" style="4" bestFit="1" customWidth="1"/>
    <col min="2" max="2" width="38.85546875" style="4" customWidth="1"/>
    <col min="3" max="3" width="34.85546875" style="4" customWidth="1"/>
    <col min="4" max="4" width="38.42578125" style="4" customWidth="1"/>
    <col min="5" max="5" width="28" style="4" bestFit="1" customWidth="1"/>
    <col min="6" max="7" width="15.5703125" style="4" bestFit="1" customWidth="1"/>
    <col min="8" max="8" width="38.5703125" style="4" bestFit="1" customWidth="1"/>
    <col min="9" max="9" width="35.7109375" style="4" customWidth="1"/>
    <col min="10" max="10" width="158.5703125" style="4" customWidth="1"/>
    <col min="11" max="11" width="122" style="4" customWidth="1"/>
    <col min="12" max="16384" width="9.140625" style="4"/>
  </cols>
  <sheetData>
    <row r="1" spans="1:11" s="3" customFormat="1" x14ac:dyDescent="0.25">
      <c r="A1" s="3" t="s">
        <v>3</v>
      </c>
      <c r="B1" s="3" t="s">
        <v>2</v>
      </c>
      <c r="C1" s="3" t="s">
        <v>4</v>
      </c>
      <c r="D1" s="3" t="s">
        <v>5</v>
      </c>
      <c r="E1" s="3" t="s">
        <v>782</v>
      </c>
      <c r="F1" s="3" t="s">
        <v>792</v>
      </c>
      <c r="G1" s="3" t="s">
        <v>791</v>
      </c>
      <c r="H1" s="3" t="s">
        <v>793</v>
      </c>
      <c r="I1" s="3" t="s">
        <v>6</v>
      </c>
      <c r="J1" s="3" t="s">
        <v>16</v>
      </c>
      <c r="K1" s="3" t="s">
        <v>17</v>
      </c>
    </row>
    <row r="2" spans="1:11" x14ac:dyDescent="0.25">
      <c r="A2" s="4" t="s">
        <v>654</v>
      </c>
      <c r="B2" s="4" t="s">
        <v>653</v>
      </c>
      <c r="C2" s="4" t="s">
        <v>455</v>
      </c>
      <c r="D2" s="4" t="s">
        <v>456</v>
      </c>
      <c r="E2" s="4" t="s">
        <v>1435</v>
      </c>
      <c r="F2" s="5" t="s">
        <v>885</v>
      </c>
      <c r="G2" s="5" t="str">
        <f>LEFT('Translators_MT_2nd coder data'!F2,4)</f>
        <v>2018</v>
      </c>
      <c r="H2" s="4" t="s">
        <v>769</v>
      </c>
      <c r="I2" s="4" t="s">
        <v>1452</v>
      </c>
      <c r="J2" s="4" t="s">
        <v>659</v>
      </c>
      <c r="K2" s="4" t="s">
        <v>1564</v>
      </c>
    </row>
    <row r="3" spans="1:11" x14ac:dyDescent="0.25">
      <c r="A3" s="4" t="s">
        <v>258</v>
      </c>
      <c r="B3" s="4" t="s">
        <v>257</v>
      </c>
      <c r="C3" s="4" t="s">
        <v>259</v>
      </c>
      <c r="D3" s="4" t="s">
        <v>260</v>
      </c>
      <c r="E3" s="4" t="s">
        <v>261</v>
      </c>
      <c r="F3" s="5" t="s">
        <v>836</v>
      </c>
      <c r="G3" s="5" t="str">
        <f>LEFT('Translators_MT_2nd coder data'!F3,4)</f>
        <v>2019</v>
      </c>
      <c r="H3" s="4" t="s">
        <v>261</v>
      </c>
      <c r="I3" s="4" t="s">
        <v>1453</v>
      </c>
      <c r="J3" s="4" t="s">
        <v>266</v>
      </c>
      <c r="K3" s="4" t="s">
        <v>1565</v>
      </c>
    </row>
    <row r="4" spans="1:11" x14ac:dyDescent="0.25">
      <c r="A4" s="4" t="s">
        <v>21</v>
      </c>
      <c r="B4" s="4" t="s">
        <v>22</v>
      </c>
      <c r="C4" s="4" t="s">
        <v>23</v>
      </c>
      <c r="D4" s="4" t="s">
        <v>24</v>
      </c>
      <c r="E4" s="4" t="s">
        <v>783</v>
      </c>
      <c r="F4" s="6" t="s">
        <v>25</v>
      </c>
      <c r="G4" s="5" t="str">
        <f>LEFT('Translators_MT_2nd coder data'!F4,4)</f>
        <v>2022</v>
      </c>
      <c r="H4" s="4" t="s">
        <v>773</v>
      </c>
      <c r="I4" s="4" t="s">
        <v>27</v>
      </c>
      <c r="J4" s="4" t="s">
        <v>35</v>
      </c>
      <c r="K4" s="4" t="s">
        <v>1566</v>
      </c>
    </row>
    <row r="5" spans="1:11" x14ac:dyDescent="0.25">
      <c r="A5" s="4" t="s">
        <v>918</v>
      </c>
      <c r="B5" s="4" t="s">
        <v>919</v>
      </c>
      <c r="C5" s="4" t="s">
        <v>920</v>
      </c>
      <c r="D5" s="4" t="s">
        <v>921</v>
      </c>
      <c r="E5" s="4" t="s">
        <v>402</v>
      </c>
      <c r="F5" s="4" t="s">
        <v>922</v>
      </c>
      <c r="G5" s="5" t="str">
        <f>LEFT('Translators_MT_2nd coder data'!F5,4)</f>
        <v>2023</v>
      </c>
      <c r="H5" s="4" t="s">
        <v>402</v>
      </c>
      <c r="I5" s="4" t="s">
        <v>923</v>
      </c>
      <c r="J5" s="4" t="s">
        <v>925</v>
      </c>
      <c r="K5" s="4" t="s">
        <v>1567</v>
      </c>
    </row>
    <row r="6" spans="1:11" x14ac:dyDescent="0.25">
      <c r="A6" s="4" t="s">
        <v>281</v>
      </c>
      <c r="B6" s="4" t="s">
        <v>282</v>
      </c>
      <c r="C6" s="4" t="s">
        <v>283</v>
      </c>
      <c r="D6" s="4" t="s">
        <v>284</v>
      </c>
      <c r="E6" s="4" t="s">
        <v>1437</v>
      </c>
      <c r="F6" s="5" t="s">
        <v>839</v>
      </c>
      <c r="G6" s="5" t="str">
        <f>LEFT('Translators_MT_2nd coder data'!F6,4)</f>
        <v>2024</v>
      </c>
      <c r="H6" s="4" t="s">
        <v>1437</v>
      </c>
      <c r="I6" s="4" t="s">
        <v>285</v>
      </c>
      <c r="J6" s="4" t="s">
        <v>289</v>
      </c>
      <c r="K6" s="4" t="s">
        <v>290</v>
      </c>
    </row>
    <row r="7" spans="1:11" x14ac:dyDescent="0.25">
      <c r="A7" s="4" t="s">
        <v>67</v>
      </c>
      <c r="B7" s="4" t="s">
        <v>66</v>
      </c>
      <c r="C7" s="4" t="s">
        <v>68</v>
      </c>
      <c r="D7" s="4" t="s">
        <v>69</v>
      </c>
      <c r="E7" s="4" t="s">
        <v>70</v>
      </c>
      <c r="F7" s="5" t="s">
        <v>810</v>
      </c>
      <c r="G7" s="5" t="str">
        <f>LEFT('Translators_MT_2nd coder data'!F7,4)</f>
        <v>2025</v>
      </c>
      <c r="H7" s="4" t="s">
        <v>70</v>
      </c>
      <c r="I7" s="4" t="s">
        <v>1450</v>
      </c>
      <c r="J7" s="4" t="s">
        <v>80</v>
      </c>
      <c r="K7" s="4" t="s">
        <v>1568</v>
      </c>
    </row>
    <row r="8" spans="1:11" x14ac:dyDescent="0.25">
      <c r="A8" s="4" t="s">
        <v>224</v>
      </c>
      <c r="B8" s="4" t="s">
        <v>223</v>
      </c>
      <c r="C8" s="4" t="s">
        <v>225</v>
      </c>
      <c r="D8" s="4" t="s">
        <v>226</v>
      </c>
      <c r="E8" s="4" t="s">
        <v>227</v>
      </c>
      <c r="F8" s="5" t="s">
        <v>828</v>
      </c>
      <c r="G8" s="5" t="str">
        <f>LEFT('Translators_MT_2nd coder data'!F8,4)</f>
        <v>2025</v>
      </c>
      <c r="H8" s="4" t="s">
        <v>227</v>
      </c>
      <c r="I8" s="4" t="s">
        <v>1451</v>
      </c>
      <c r="J8" s="4" t="s">
        <v>1569</v>
      </c>
      <c r="K8" s="4" t="s">
        <v>1449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9B3A5-5343-4714-A9F0-19AA6D1F60B7}">
  <dimension ref="A1:G24"/>
  <sheetViews>
    <sheetView showGridLines="0" topLeftCell="A7" workbookViewId="0">
      <selection activeCell="D20" sqref="D20"/>
    </sheetView>
  </sheetViews>
  <sheetFormatPr defaultRowHeight="15" x14ac:dyDescent="0.25"/>
  <cols>
    <col min="1" max="1" width="12.7109375" style="15" customWidth="1"/>
    <col min="2" max="2" width="16.7109375" style="15" customWidth="1"/>
    <col min="3" max="3" width="34.7109375" style="15" customWidth="1"/>
    <col min="4" max="4" width="50.7109375" style="15" customWidth="1"/>
    <col min="5" max="5" width="22.7109375" style="15" customWidth="1"/>
    <col min="6" max="16384" width="9.140625" style="15"/>
  </cols>
  <sheetData>
    <row r="1" spans="1:7" x14ac:dyDescent="0.25">
      <c r="A1" s="36" t="s">
        <v>1502</v>
      </c>
      <c r="B1" s="36"/>
      <c r="C1" s="36"/>
      <c r="D1" s="14" t="s">
        <v>1504</v>
      </c>
      <c r="E1" s="14" t="s">
        <v>1503</v>
      </c>
    </row>
    <row r="2" spans="1:7" x14ac:dyDescent="0.25">
      <c r="A2" s="35" t="s">
        <v>1502</v>
      </c>
      <c r="B2" s="35"/>
      <c r="C2" s="35"/>
      <c r="D2" s="17" t="s">
        <v>1438</v>
      </c>
      <c r="E2" s="8">
        <f>+SUM(E3:E24)</f>
        <v>913</v>
      </c>
    </row>
    <row r="3" spans="1:7" ht="51" x14ac:dyDescent="0.25">
      <c r="A3" s="16" t="s">
        <v>1438</v>
      </c>
      <c r="B3" s="35" t="s">
        <v>1513</v>
      </c>
      <c r="C3" s="35"/>
      <c r="D3" s="17" t="s">
        <v>1514</v>
      </c>
      <c r="E3" s="18">
        <v>0</v>
      </c>
      <c r="F3" s="11"/>
      <c r="G3" s="12">
        <f>+SUM(E3:E7)</f>
        <v>76</v>
      </c>
    </row>
    <row r="4" spans="1:7" ht="38.25" x14ac:dyDescent="0.25">
      <c r="A4" s="16" t="s">
        <v>1438</v>
      </c>
      <c r="B4" s="16" t="s">
        <v>1438</v>
      </c>
      <c r="C4" s="16" t="s">
        <v>1515</v>
      </c>
      <c r="D4" s="17" t="s">
        <v>1439</v>
      </c>
      <c r="E4" s="18">
        <v>46</v>
      </c>
      <c r="F4" s="10">
        <f>+E4/$G$3</f>
        <v>0.60526315789473684</v>
      </c>
      <c r="G4" s="1"/>
    </row>
    <row r="5" spans="1:7" ht="38.25" x14ac:dyDescent="0.25">
      <c r="A5" s="16" t="s">
        <v>1438</v>
      </c>
      <c r="B5" s="16" t="s">
        <v>1438</v>
      </c>
      <c r="C5" s="16" t="s">
        <v>1516</v>
      </c>
      <c r="D5" s="17" t="s">
        <v>1440</v>
      </c>
      <c r="E5" s="18">
        <v>13</v>
      </c>
      <c r="F5" s="10">
        <f t="shared" ref="F5:F7" si="0">+E5/$G$3</f>
        <v>0.17105263157894737</v>
      </c>
      <c r="G5" s="1"/>
    </row>
    <row r="6" spans="1:7" ht="38.25" x14ac:dyDescent="0.25">
      <c r="A6" s="16" t="s">
        <v>1438</v>
      </c>
      <c r="B6" s="16" t="s">
        <v>1438</v>
      </c>
      <c r="C6" s="16" t="s">
        <v>1517</v>
      </c>
      <c r="D6" s="17" t="s">
        <v>1441</v>
      </c>
      <c r="E6" s="18">
        <v>13</v>
      </c>
      <c r="F6" s="10">
        <f t="shared" si="0"/>
        <v>0.17105263157894737</v>
      </c>
      <c r="G6" s="1"/>
    </row>
    <row r="7" spans="1:7" ht="38.25" x14ac:dyDescent="0.25">
      <c r="A7" s="16" t="s">
        <v>1438</v>
      </c>
      <c r="B7" s="16" t="s">
        <v>1438</v>
      </c>
      <c r="C7" s="16" t="s">
        <v>1518</v>
      </c>
      <c r="D7" s="17" t="s">
        <v>1442</v>
      </c>
      <c r="E7" s="18">
        <v>4</v>
      </c>
      <c r="F7" s="10">
        <f t="shared" si="0"/>
        <v>5.2631578947368418E-2</v>
      </c>
      <c r="G7" s="1"/>
    </row>
    <row r="8" spans="1:7" ht="63.75" x14ac:dyDescent="0.25">
      <c r="A8" s="16" t="s">
        <v>1438</v>
      </c>
      <c r="B8" s="35" t="s">
        <v>1519</v>
      </c>
      <c r="C8" s="35"/>
      <c r="D8" s="17" t="s">
        <v>1454</v>
      </c>
      <c r="E8" s="18">
        <v>0</v>
      </c>
      <c r="F8" s="11"/>
      <c r="G8" s="12">
        <f>+SUM(E8:E10)</f>
        <v>358</v>
      </c>
    </row>
    <row r="9" spans="1:7" ht="25.5" x14ac:dyDescent="0.25">
      <c r="A9" s="16" t="s">
        <v>1438</v>
      </c>
      <c r="B9" s="16" t="s">
        <v>1438</v>
      </c>
      <c r="C9" s="16" t="s">
        <v>1520</v>
      </c>
      <c r="D9" s="17" t="s">
        <v>1455</v>
      </c>
      <c r="E9" s="18">
        <v>227</v>
      </c>
      <c r="F9" s="10">
        <f>+E9/$G$8</f>
        <v>0.63407821229050276</v>
      </c>
      <c r="G9" s="1"/>
    </row>
    <row r="10" spans="1:7" ht="25.5" x14ac:dyDescent="0.25">
      <c r="A10" s="16" t="s">
        <v>1438</v>
      </c>
      <c r="B10" s="16" t="s">
        <v>1438</v>
      </c>
      <c r="C10" s="16" t="s">
        <v>1521</v>
      </c>
      <c r="D10" s="17" t="s">
        <v>1456</v>
      </c>
      <c r="E10" s="18">
        <v>131</v>
      </c>
      <c r="F10" s="10">
        <f>+E10/$G$8</f>
        <v>0.36592178770949718</v>
      </c>
      <c r="G10" s="1"/>
    </row>
    <row r="11" spans="1:7" ht="38.25" x14ac:dyDescent="0.25">
      <c r="A11" s="16" t="s">
        <v>1438</v>
      </c>
      <c r="B11" s="35" t="s">
        <v>1522</v>
      </c>
      <c r="C11" s="35"/>
      <c r="D11" s="17" t="s">
        <v>1523</v>
      </c>
      <c r="E11" s="18">
        <v>0</v>
      </c>
      <c r="F11" s="11"/>
      <c r="G11" s="12">
        <f>+SUM(E11:E19)</f>
        <v>390</v>
      </c>
    </row>
    <row r="12" spans="1:7" ht="25.5" x14ac:dyDescent="0.25">
      <c r="A12" s="16" t="s">
        <v>1438</v>
      </c>
      <c r="B12" s="16" t="s">
        <v>1438</v>
      </c>
      <c r="C12" s="16" t="s">
        <v>1524</v>
      </c>
      <c r="D12" s="17" t="s">
        <v>1525</v>
      </c>
      <c r="E12" s="18">
        <v>9</v>
      </c>
      <c r="F12" s="10">
        <f>+E12/$G$11</f>
        <v>2.3076923076923078E-2</v>
      </c>
      <c r="G12" s="1"/>
    </row>
    <row r="13" spans="1:7" ht="38.25" x14ac:dyDescent="0.25">
      <c r="A13" s="16" t="s">
        <v>1438</v>
      </c>
      <c r="B13" s="16" t="s">
        <v>1438</v>
      </c>
      <c r="C13" s="16" t="s">
        <v>1526</v>
      </c>
      <c r="D13" s="17" t="s">
        <v>1445</v>
      </c>
      <c r="E13" s="18">
        <v>3</v>
      </c>
      <c r="F13" s="10">
        <f t="shared" ref="F13:F19" si="1">+E13/$G$11</f>
        <v>7.6923076923076927E-3</v>
      </c>
      <c r="G13" s="1"/>
    </row>
    <row r="14" spans="1:7" ht="51" x14ac:dyDescent="0.25">
      <c r="A14" s="16" t="s">
        <v>1438</v>
      </c>
      <c r="B14" s="16" t="s">
        <v>1438</v>
      </c>
      <c r="C14" s="16" t="s">
        <v>1527</v>
      </c>
      <c r="D14" s="17" t="s">
        <v>1443</v>
      </c>
      <c r="E14" s="18">
        <v>22</v>
      </c>
      <c r="F14" s="10">
        <f t="shared" si="1"/>
        <v>5.6410256410256411E-2</v>
      </c>
      <c r="G14" s="1"/>
    </row>
    <row r="15" spans="1:7" ht="51" x14ac:dyDescent="0.25">
      <c r="A15" s="16" t="s">
        <v>1438</v>
      </c>
      <c r="B15" s="16" t="s">
        <v>1438</v>
      </c>
      <c r="C15" s="16" t="s">
        <v>1528</v>
      </c>
      <c r="D15" s="17" t="s">
        <v>1444</v>
      </c>
      <c r="E15" s="18">
        <v>2</v>
      </c>
      <c r="F15" s="10">
        <f t="shared" si="1"/>
        <v>5.1282051282051282E-3</v>
      </c>
      <c r="G15" s="1"/>
    </row>
    <row r="16" spans="1:7" ht="51" x14ac:dyDescent="0.25">
      <c r="A16" s="16" t="s">
        <v>1438</v>
      </c>
      <c r="B16" s="16" t="s">
        <v>1438</v>
      </c>
      <c r="C16" s="16" t="s">
        <v>1529</v>
      </c>
      <c r="D16" s="17" t="s">
        <v>1457</v>
      </c>
      <c r="E16" s="18">
        <v>68</v>
      </c>
      <c r="F16" s="10">
        <f t="shared" si="1"/>
        <v>0.17435897435897435</v>
      </c>
      <c r="G16" s="1"/>
    </row>
    <row r="17" spans="1:7" ht="38.25" x14ac:dyDescent="0.25">
      <c r="A17" s="16" t="s">
        <v>1438</v>
      </c>
      <c r="B17" s="16" t="s">
        <v>1438</v>
      </c>
      <c r="C17" s="16" t="s">
        <v>1530</v>
      </c>
      <c r="D17" s="17" t="s">
        <v>1446</v>
      </c>
      <c r="E17" s="18">
        <v>141</v>
      </c>
      <c r="F17" s="10">
        <f t="shared" si="1"/>
        <v>0.36153846153846153</v>
      </c>
      <c r="G17" s="1"/>
    </row>
    <row r="18" spans="1:7" ht="89.25" x14ac:dyDescent="0.25">
      <c r="A18" s="16" t="s">
        <v>1438</v>
      </c>
      <c r="B18" s="16" t="s">
        <v>1438</v>
      </c>
      <c r="C18" s="16" t="s">
        <v>1531</v>
      </c>
      <c r="D18" s="17" t="s">
        <v>1458</v>
      </c>
      <c r="E18" s="18">
        <v>136</v>
      </c>
      <c r="F18" s="10">
        <f t="shared" si="1"/>
        <v>0.3487179487179487</v>
      </c>
      <c r="G18" s="1"/>
    </row>
    <row r="19" spans="1:7" ht="25.5" x14ac:dyDescent="0.25">
      <c r="A19" s="16" t="s">
        <v>1438</v>
      </c>
      <c r="B19" s="16" t="s">
        <v>1438</v>
      </c>
      <c r="C19" s="16" t="s">
        <v>1532</v>
      </c>
      <c r="D19" s="17" t="s">
        <v>1557</v>
      </c>
      <c r="E19" s="18">
        <v>9</v>
      </c>
      <c r="F19" s="10">
        <f t="shared" si="1"/>
        <v>2.3076923076923078E-2</v>
      </c>
    </row>
    <row r="20" spans="1:7" ht="38.25" x14ac:dyDescent="0.25">
      <c r="A20" s="16" t="s">
        <v>1438</v>
      </c>
      <c r="B20" s="35" t="s">
        <v>1533</v>
      </c>
      <c r="C20" s="35"/>
      <c r="D20" s="17" t="s">
        <v>1459</v>
      </c>
      <c r="E20" s="18">
        <v>0</v>
      </c>
      <c r="F20" s="13"/>
      <c r="G20" s="11">
        <f>+SUM(E20:E24)</f>
        <v>89</v>
      </c>
    </row>
    <row r="21" spans="1:7" ht="38.25" x14ac:dyDescent="0.25">
      <c r="A21" s="16" t="s">
        <v>1438</v>
      </c>
      <c r="B21" s="16" t="s">
        <v>1438</v>
      </c>
      <c r="C21" s="16" t="s">
        <v>1534</v>
      </c>
      <c r="D21" s="17" t="s">
        <v>1535</v>
      </c>
      <c r="E21" s="18">
        <v>35</v>
      </c>
      <c r="F21" s="10">
        <f>+E21/$G$20</f>
        <v>0.39325842696629215</v>
      </c>
      <c r="G21" s="1"/>
    </row>
    <row r="22" spans="1:7" ht="38.25" x14ac:dyDescent="0.25">
      <c r="A22" s="16" t="s">
        <v>1438</v>
      </c>
      <c r="B22" s="16" t="s">
        <v>1438</v>
      </c>
      <c r="C22" s="16" t="s">
        <v>1536</v>
      </c>
      <c r="D22" s="17" t="s">
        <v>1460</v>
      </c>
      <c r="E22" s="18">
        <v>5</v>
      </c>
      <c r="F22" s="10">
        <f t="shared" ref="F22:F23" si="2">+E22/$G$20</f>
        <v>5.6179775280898875E-2</v>
      </c>
      <c r="G22" s="1"/>
    </row>
    <row r="23" spans="1:7" ht="38.25" x14ac:dyDescent="0.25">
      <c r="A23" s="16" t="s">
        <v>1438</v>
      </c>
      <c r="B23" s="16" t="s">
        <v>1438</v>
      </c>
      <c r="C23" s="16" t="s">
        <v>1537</v>
      </c>
      <c r="D23" s="17" t="s">
        <v>1461</v>
      </c>
      <c r="E23" s="18">
        <v>28</v>
      </c>
      <c r="F23" s="10">
        <f t="shared" si="2"/>
        <v>0.3146067415730337</v>
      </c>
      <c r="G23" s="1"/>
    </row>
    <row r="24" spans="1:7" ht="38.25" x14ac:dyDescent="0.25">
      <c r="A24" s="16" t="s">
        <v>1438</v>
      </c>
      <c r="B24" s="16" t="s">
        <v>1438</v>
      </c>
      <c r="C24" s="16" t="s">
        <v>1538</v>
      </c>
      <c r="D24" s="17" t="s">
        <v>1462</v>
      </c>
      <c r="E24" s="18">
        <v>21</v>
      </c>
      <c r="F24" s="10">
        <f>+E24/$G$20</f>
        <v>0.23595505617977527</v>
      </c>
    </row>
  </sheetData>
  <mergeCells count="6">
    <mergeCell ref="B20:C20"/>
    <mergeCell ref="A1:C1"/>
    <mergeCell ref="A2:C2"/>
    <mergeCell ref="B3:C3"/>
    <mergeCell ref="B8:C8"/>
    <mergeCell ref="B11: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D1A7A-32F4-4197-B37D-A29592C0212A}">
  <dimension ref="A1:I913"/>
  <sheetViews>
    <sheetView showGridLines="0" workbookViewId="0">
      <selection activeCell="D4" sqref="D4"/>
    </sheetView>
  </sheetViews>
  <sheetFormatPr defaultRowHeight="15" x14ac:dyDescent="0.25"/>
  <cols>
    <col min="1" max="1" width="7.7109375" style="1" customWidth="1"/>
    <col min="2" max="2" width="31.7109375" style="1" customWidth="1"/>
    <col min="3" max="3" width="22.7109375" style="1" customWidth="1"/>
    <col min="4" max="4" width="50.7109375" style="1" customWidth="1"/>
    <col min="5" max="5" width="22.7109375" style="1" customWidth="1"/>
    <col min="6" max="6" width="7.7109375" style="1" customWidth="1"/>
    <col min="7" max="8" width="22.7109375" style="1" customWidth="1"/>
    <col min="9" max="16384" width="9.140625" style="1"/>
  </cols>
  <sheetData>
    <row r="1" spans="1:9" x14ac:dyDescent="0.25">
      <c r="A1" s="2" t="s">
        <v>1434</v>
      </c>
      <c r="B1" s="2" t="s">
        <v>1433</v>
      </c>
      <c r="C1" s="2" t="s">
        <v>1432</v>
      </c>
      <c r="D1" s="2" t="s">
        <v>1431</v>
      </c>
      <c r="E1" s="2" t="s">
        <v>1430</v>
      </c>
      <c r="F1" s="2" t="s">
        <v>1429</v>
      </c>
      <c r="G1" s="2" t="s">
        <v>1428</v>
      </c>
      <c r="H1" s="2" t="s">
        <v>1427</v>
      </c>
    </row>
    <row r="2" spans="1:9" ht="63.75" x14ac:dyDescent="0.25">
      <c r="A2" s="30" t="s">
        <v>930</v>
      </c>
      <c r="B2" s="31" t="s">
        <v>929</v>
      </c>
      <c r="C2" s="31" t="s">
        <v>351</v>
      </c>
      <c r="D2" s="31" t="s">
        <v>1539</v>
      </c>
      <c r="E2" s="31">
        <v>4</v>
      </c>
      <c r="F2" s="31">
        <v>4</v>
      </c>
      <c r="G2" s="9">
        <v>0</v>
      </c>
      <c r="H2" s="7" t="s">
        <v>1426</v>
      </c>
      <c r="I2" s="7" t="s">
        <v>1438</v>
      </c>
    </row>
    <row r="3" spans="1:9" ht="76.5" x14ac:dyDescent="0.25">
      <c r="A3" s="30" t="s">
        <v>930</v>
      </c>
      <c r="B3" s="31" t="s">
        <v>929</v>
      </c>
      <c r="C3" s="31" t="s">
        <v>351</v>
      </c>
      <c r="D3" s="31" t="s">
        <v>1539</v>
      </c>
      <c r="E3" s="31">
        <v>16</v>
      </c>
      <c r="F3" s="31">
        <v>16</v>
      </c>
      <c r="G3" s="9">
        <v>0</v>
      </c>
      <c r="H3" s="7" t="s">
        <v>1424</v>
      </c>
      <c r="I3" s="7" t="s">
        <v>1438</v>
      </c>
    </row>
    <row r="4" spans="1:9" ht="242.25" x14ac:dyDescent="0.25">
      <c r="A4" s="30" t="s">
        <v>930</v>
      </c>
      <c r="B4" s="31" t="s">
        <v>929</v>
      </c>
      <c r="C4" s="31" t="s">
        <v>351</v>
      </c>
      <c r="D4" s="31" t="s">
        <v>1539</v>
      </c>
      <c r="E4" s="31">
        <v>30</v>
      </c>
      <c r="F4" s="31">
        <v>33</v>
      </c>
      <c r="G4" s="9">
        <v>0</v>
      </c>
      <c r="H4" s="7" t="s">
        <v>1420</v>
      </c>
      <c r="I4" s="7" t="s">
        <v>1438</v>
      </c>
    </row>
    <row r="5" spans="1:9" ht="267.75" x14ac:dyDescent="0.25">
      <c r="A5" s="30" t="s">
        <v>930</v>
      </c>
      <c r="B5" s="31" t="s">
        <v>929</v>
      </c>
      <c r="C5" s="31" t="s">
        <v>351</v>
      </c>
      <c r="D5" s="31" t="s">
        <v>1539</v>
      </c>
      <c r="E5" s="31">
        <v>38</v>
      </c>
      <c r="F5" s="31">
        <v>41</v>
      </c>
      <c r="G5" s="9">
        <v>0</v>
      </c>
      <c r="H5" s="7" t="s">
        <v>1419</v>
      </c>
      <c r="I5" s="7" t="s">
        <v>1438</v>
      </c>
    </row>
    <row r="6" spans="1:9" ht="165.75" x14ac:dyDescent="0.25">
      <c r="A6" s="30" t="s">
        <v>930</v>
      </c>
      <c r="B6" s="31" t="s">
        <v>929</v>
      </c>
      <c r="C6" s="31" t="s">
        <v>918</v>
      </c>
      <c r="D6" s="31" t="s">
        <v>1539</v>
      </c>
      <c r="E6" s="31">
        <v>4</v>
      </c>
      <c r="F6" s="31">
        <v>5</v>
      </c>
      <c r="G6" s="9">
        <v>0</v>
      </c>
      <c r="H6" s="7" t="s">
        <v>1417</v>
      </c>
      <c r="I6" s="7" t="s">
        <v>1438</v>
      </c>
    </row>
    <row r="7" spans="1:9" ht="153" x14ac:dyDescent="0.25">
      <c r="A7" s="30" t="s">
        <v>930</v>
      </c>
      <c r="B7" s="31" t="s">
        <v>929</v>
      </c>
      <c r="C7" s="31" t="s">
        <v>918</v>
      </c>
      <c r="D7" s="31" t="s">
        <v>1539</v>
      </c>
      <c r="E7" s="31">
        <v>23</v>
      </c>
      <c r="F7" s="31">
        <v>23</v>
      </c>
      <c r="G7" s="9">
        <v>0</v>
      </c>
      <c r="H7" s="7" t="s">
        <v>1408</v>
      </c>
      <c r="I7" s="7" t="s">
        <v>1438</v>
      </c>
    </row>
    <row r="8" spans="1:9" ht="165.75" x14ac:dyDescent="0.25">
      <c r="A8" s="30" t="s">
        <v>930</v>
      </c>
      <c r="B8" s="31" t="s">
        <v>929</v>
      </c>
      <c r="C8" s="31" t="s">
        <v>640</v>
      </c>
      <c r="D8" s="31" t="s">
        <v>1539</v>
      </c>
      <c r="E8" s="31">
        <v>40</v>
      </c>
      <c r="F8" s="31">
        <v>40</v>
      </c>
      <c r="G8" s="9">
        <v>0</v>
      </c>
      <c r="H8" s="7" t="s">
        <v>1402</v>
      </c>
      <c r="I8" s="7" t="s">
        <v>1438</v>
      </c>
    </row>
    <row r="9" spans="1:9" ht="114.75" x14ac:dyDescent="0.25">
      <c r="A9" s="30" t="s">
        <v>930</v>
      </c>
      <c r="B9" s="31" t="s">
        <v>929</v>
      </c>
      <c r="C9" s="31" t="s">
        <v>97</v>
      </c>
      <c r="D9" s="31" t="s">
        <v>1539</v>
      </c>
      <c r="E9" s="31">
        <v>20</v>
      </c>
      <c r="F9" s="31">
        <v>20</v>
      </c>
      <c r="G9" s="9">
        <v>0</v>
      </c>
      <c r="H9" s="7" t="s">
        <v>1399</v>
      </c>
      <c r="I9" s="7" t="s">
        <v>1438</v>
      </c>
    </row>
    <row r="10" spans="1:9" ht="153" x14ac:dyDescent="0.25">
      <c r="A10" s="30" t="s">
        <v>930</v>
      </c>
      <c r="B10" s="31" t="s">
        <v>929</v>
      </c>
      <c r="C10" s="31" t="s">
        <v>97</v>
      </c>
      <c r="D10" s="31" t="s">
        <v>1539</v>
      </c>
      <c r="E10" s="31">
        <v>21</v>
      </c>
      <c r="F10" s="31">
        <v>21</v>
      </c>
      <c r="G10" s="9">
        <v>0</v>
      </c>
      <c r="H10" s="7" t="s">
        <v>1398</v>
      </c>
      <c r="I10" s="7" t="s">
        <v>1438</v>
      </c>
    </row>
    <row r="11" spans="1:9" ht="76.5" x14ac:dyDescent="0.25">
      <c r="A11" s="30" t="s">
        <v>930</v>
      </c>
      <c r="B11" s="31" t="s">
        <v>929</v>
      </c>
      <c r="C11" s="31" t="s">
        <v>21</v>
      </c>
      <c r="D11" s="31" t="s">
        <v>1539</v>
      </c>
      <c r="E11" s="31">
        <v>37</v>
      </c>
      <c r="F11" s="31">
        <v>37</v>
      </c>
      <c r="G11" s="9">
        <v>0</v>
      </c>
      <c r="H11" s="7" t="s">
        <v>1387</v>
      </c>
      <c r="I11" s="7" t="s">
        <v>1438</v>
      </c>
    </row>
    <row r="12" spans="1:9" ht="165.75" x14ac:dyDescent="0.25">
      <c r="A12" s="30" t="s">
        <v>930</v>
      </c>
      <c r="B12" s="31" t="s">
        <v>929</v>
      </c>
      <c r="C12" s="31" t="s">
        <v>155</v>
      </c>
      <c r="D12" s="31" t="s">
        <v>1539</v>
      </c>
      <c r="E12" s="31">
        <v>18</v>
      </c>
      <c r="F12" s="31">
        <v>18</v>
      </c>
      <c r="G12" s="9">
        <v>0</v>
      </c>
      <c r="H12" s="7" t="s">
        <v>1481</v>
      </c>
      <c r="I12" s="7" t="s">
        <v>1438</v>
      </c>
    </row>
    <row r="13" spans="1:9" ht="127.5" x14ac:dyDescent="0.25">
      <c r="A13" s="30" t="s">
        <v>930</v>
      </c>
      <c r="B13" s="31" t="s">
        <v>929</v>
      </c>
      <c r="C13" s="31" t="s">
        <v>1667</v>
      </c>
      <c r="D13" s="31" t="s">
        <v>1539</v>
      </c>
      <c r="E13" s="31">
        <v>19</v>
      </c>
      <c r="F13" s="31">
        <v>19</v>
      </c>
      <c r="G13" s="9">
        <v>0</v>
      </c>
      <c r="H13" s="7" t="s">
        <v>1380</v>
      </c>
      <c r="I13" s="7" t="s">
        <v>1438</v>
      </c>
    </row>
    <row r="14" spans="1:9" ht="165.75" x14ac:dyDescent="0.25">
      <c r="A14" s="30" t="s">
        <v>930</v>
      </c>
      <c r="B14" s="31" t="s">
        <v>929</v>
      </c>
      <c r="C14" s="31" t="s">
        <v>500</v>
      </c>
      <c r="D14" s="31" t="s">
        <v>1539</v>
      </c>
      <c r="E14" s="31">
        <v>12</v>
      </c>
      <c r="F14" s="31">
        <v>12</v>
      </c>
      <c r="G14" s="9">
        <v>0</v>
      </c>
      <c r="H14" s="7" t="s">
        <v>1482</v>
      </c>
      <c r="I14" s="7" t="s">
        <v>1438</v>
      </c>
    </row>
    <row r="15" spans="1:9" ht="89.25" x14ac:dyDescent="0.25">
      <c r="A15" s="30" t="s">
        <v>930</v>
      </c>
      <c r="B15" s="31" t="s">
        <v>929</v>
      </c>
      <c r="C15" s="31" t="s">
        <v>500</v>
      </c>
      <c r="D15" s="31" t="s">
        <v>1539</v>
      </c>
      <c r="E15" s="31">
        <v>31</v>
      </c>
      <c r="F15" s="31">
        <v>31</v>
      </c>
      <c r="G15" s="9">
        <v>0</v>
      </c>
      <c r="H15" s="7" t="s">
        <v>1372</v>
      </c>
      <c r="I15" s="7" t="s">
        <v>1438</v>
      </c>
    </row>
    <row r="16" spans="1:9" ht="89.25" x14ac:dyDescent="0.25">
      <c r="A16" s="30" t="s">
        <v>930</v>
      </c>
      <c r="B16" s="31" t="s">
        <v>929</v>
      </c>
      <c r="C16" s="31" t="s">
        <v>433</v>
      </c>
      <c r="D16" s="31" t="s">
        <v>1539</v>
      </c>
      <c r="E16" s="31">
        <v>4</v>
      </c>
      <c r="F16" s="31">
        <v>4</v>
      </c>
      <c r="G16" s="9">
        <v>0</v>
      </c>
      <c r="H16" s="7" t="s">
        <v>1351</v>
      </c>
      <c r="I16" s="7" t="s">
        <v>1438</v>
      </c>
    </row>
    <row r="17" spans="1:9" ht="76.5" x14ac:dyDescent="0.25">
      <c r="A17" s="30" t="s">
        <v>930</v>
      </c>
      <c r="B17" s="31" t="s">
        <v>929</v>
      </c>
      <c r="C17" s="31" t="s">
        <v>685</v>
      </c>
      <c r="D17" s="31" t="s">
        <v>1539</v>
      </c>
      <c r="E17" s="31">
        <v>2</v>
      </c>
      <c r="F17" s="31">
        <v>2</v>
      </c>
      <c r="G17" s="9">
        <v>0</v>
      </c>
      <c r="H17" s="7" t="s">
        <v>891</v>
      </c>
      <c r="I17" s="7" t="s">
        <v>1438</v>
      </c>
    </row>
    <row r="18" spans="1:9" ht="409.5" x14ac:dyDescent="0.25">
      <c r="A18" s="30" t="s">
        <v>930</v>
      </c>
      <c r="B18" s="31" t="s">
        <v>929</v>
      </c>
      <c r="C18" s="31" t="s">
        <v>281</v>
      </c>
      <c r="D18" s="31" t="s">
        <v>1539</v>
      </c>
      <c r="E18" s="31">
        <v>3</v>
      </c>
      <c r="F18" s="31">
        <v>19</v>
      </c>
      <c r="G18" s="9">
        <v>0</v>
      </c>
      <c r="H18" s="7" t="s">
        <v>289</v>
      </c>
      <c r="I18" s="7" t="s">
        <v>1438</v>
      </c>
    </row>
    <row r="19" spans="1:9" ht="114.75" x14ac:dyDescent="0.25">
      <c r="A19" s="30" t="s">
        <v>930</v>
      </c>
      <c r="B19" s="31" t="s">
        <v>929</v>
      </c>
      <c r="C19" s="31" t="s">
        <v>113</v>
      </c>
      <c r="D19" s="31" t="s">
        <v>1539</v>
      </c>
      <c r="E19" s="31">
        <v>4</v>
      </c>
      <c r="F19" s="31">
        <v>4</v>
      </c>
      <c r="G19" s="9">
        <v>0</v>
      </c>
      <c r="H19" s="7" t="s">
        <v>1483</v>
      </c>
      <c r="I19" s="7" t="s">
        <v>1438</v>
      </c>
    </row>
    <row r="20" spans="1:9" ht="165.75" x14ac:dyDescent="0.25">
      <c r="A20" s="30" t="s">
        <v>930</v>
      </c>
      <c r="B20" s="31" t="s">
        <v>929</v>
      </c>
      <c r="C20" s="31" t="s">
        <v>386</v>
      </c>
      <c r="D20" s="31" t="s">
        <v>1539</v>
      </c>
      <c r="E20" s="31">
        <v>9</v>
      </c>
      <c r="F20" s="31">
        <v>9</v>
      </c>
      <c r="G20" s="9">
        <v>0</v>
      </c>
      <c r="H20" s="7" t="s">
        <v>1484</v>
      </c>
      <c r="I20" s="7" t="s">
        <v>1438</v>
      </c>
    </row>
    <row r="21" spans="1:9" ht="127.5" x14ac:dyDescent="0.25">
      <c r="A21" s="30" t="s">
        <v>930</v>
      </c>
      <c r="B21" s="31" t="s">
        <v>929</v>
      </c>
      <c r="C21" s="31" t="s">
        <v>316</v>
      </c>
      <c r="D21" s="31" t="s">
        <v>1539</v>
      </c>
      <c r="E21" s="31">
        <v>4</v>
      </c>
      <c r="F21" s="31">
        <v>4</v>
      </c>
      <c r="G21" s="9">
        <v>0</v>
      </c>
      <c r="H21" s="7" t="s">
        <v>1253</v>
      </c>
      <c r="I21" s="7" t="s">
        <v>1438</v>
      </c>
    </row>
    <row r="22" spans="1:9" ht="165.75" x14ac:dyDescent="0.25">
      <c r="A22" s="30" t="s">
        <v>930</v>
      </c>
      <c r="B22" s="31" t="s">
        <v>929</v>
      </c>
      <c r="C22" s="31" t="s">
        <v>304</v>
      </c>
      <c r="D22" s="31" t="s">
        <v>1539</v>
      </c>
      <c r="E22" s="31">
        <v>5</v>
      </c>
      <c r="F22" s="31">
        <v>5</v>
      </c>
      <c r="G22" s="9">
        <v>0</v>
      </c>
      <c r="H22" s="7" t="s">
        <v>1485</v>
      </c>
      <c r="I22" s="7" t="s">
        <v>1438</v>
      </c>
    </row>
    <row r="23" spans="1:9" ht="51" x14ac:dyDescent="0.25">
      <c r="A23" s="30" t="s">
        <v>930</v>
      </c>
      <c r="B23" s="31" t="s">
        <v>929</v>
      </c>
      <c r="C23" s="31" t="s">
        <v>737</v>
      </c>
      <c r="D23" s="31" t="s">
        <v>1539</v>
      </c>
      <c r="E23" s="31">
        <v>4</v>
      </c>
      <c r="F23" s="31">
        <v>4</v>
      </c>
      <c r="G23" s="9">
        <v>0</v>
      </c>
      <c r="H23" s="7" t="s">
        <v>1198</v>
      </c>
      <c r="I23" s="7" t="s">
        <v>1438</v>
      </c>
    </row>
    <row r="24" spans="1:9" ht="229.5" x14ac:dyDescent="0.25">
      <c r="A24" s="30" t="s">
        <v>930</v>
      </c>
      <c r="B24" s="31" t="s">
        <v>929</v>
      </c>
      <c r="C24" s="31" t="s">
        <v>737</v>
      </c>
      <c r="D24" s="31" t="s">
        <v>1539</v>
      </c>
      <c r="E24" s="31">
        <v>23</v>
      </c>
      <c r="F24" s="31">
        <v>23</v>
      </c>
      <c r="G24" s="9">
        <v>0</v>
      </c>
      <c r="H24" s="7" t="s">
        <v>1193</v>
      </c>
      <c r="I24" s="7" t="s">
        <v>1438</v>
      </c>
    </row>
    <row r="25" spans="1:9" ht="89.25" x14ac:dyDescent="0.25">
      <c r="A25" s="30" t="s">
        <v>930</v>
      </c>
      <c r="B25" s="31" t="s">
        <v>929</v>
      </c>
      <c r="C25" s="31" t="s">
        <v>532</v>
      </c>
      <c r="D25" s="31" t="s">
        <v>1539</v>
      </c>
      <c r="E25" s="31">
        <v>4</v>
      </c>
      <c r="F25" s="31">
        <v>4</v>
      </c>
      <c r="G25" s="9">
        <v>0</v>
      </c>
      <c r="H25" s="7" t="s">
        <v>1189</v>
      </c>
      <c r="I25" s="7" t="s">
        <v>1438</v>
      </c>
    </row>
    <row r="26" spans="1:9" ht="140.25" x14ac:dyDescent="0.25">
      <c r="A26" s="30" t="s">
        <v>930</v>
      </c>
      <c r="B26" s="31" t="s">
        <v>929</v>
      </c>
      <c r="C26" s="31" t="s">
        <v>675</v>
      </c>
      <c r="D26" s="31" t="s">
        <v>1539</v>
      </c>
      <c r="E26" s="31">
        <v>7</v>
      </c>
      <c r="F26" s="31">
        <v>7</v>
      </c>
      <c r="G26" s="9">
        <v>0</v>
      </c>
      <c r="H26" s="7" t="s">
        <v>1182</v>
      </c>
      <c r="I26" s="7" t="s">
        <v>1438</v>
      </c>
    </row>
    <row r="27" spans="1:9" ht="89.25" x14ac:dyDescent="0.25">
      <c r="A27" s="30" t="s">
        <v>930</v>
      </c>
      <c r="B27" s="31" t="s">
        <v>929</v>
      </c>
      <c r="C27" s="31" t="s">
        <v>422</v>
      </c>
      <c r="D27" s="31" t="s">
        <v>1539</v>
      </c>
      <c r="E27" s="31">
        <v>4</v>
      </c>
      <c r="F27" s="31">
        <v>4</v>
      </c>
      <c r="G27" s="9">
        <v>0</v>
      </c>
      <c r="H27" s="7" t="s">
        <v>1175</v>
      </c>
      <c r="I27" s="7" t="s">
        <v>1438</v>
      </c>
    </row>
    <row r="28" spans="1:9" ht="409.5" x14ac:dyDescent="0.25">
      <c r="A28" s="30" t="s">
        <v>930</v>
      </c>
      <c r="B28" s="31" t="s">
        <v>929</v>
      </c>
      <c r="C28" s="31" t="s">
        <v>795</v>
      </c>
      <c r="D28" s="31" t="s">
        <v>1539</v>
      </c>
      <c r="E28" s="31">
        <v>8</v>
      </c>
      <c r="F28" s="31">
        <v>13</v>
      </c>
      <c r="G28" s="9">
        <v>0</v>
      </c>
      <c r="H28" s="7" t="s">
        <v>1486</v>
      </c>
      <c r="I28" s="7" t="s">
        <v>1438</v>
      </c>
    </row>
    <row r="29" spans="1:9" ht="409.5" x14ac:dyDescent="0.25">
      <c r="A29" s="30" t="s">
        <v>930</v>
      </c>
      <c r="B29" s="31" t="s">
        <v>929</v>
      </c>
      <c r="C29" s="31" t="s">
        <v>339</v>
      </c>
      <c r="D29" s="31" t="s">
        <v>1539</v>
      </c>
      <c r="E29" s="31">
        <v>3</v>
      </c>
      <c r="F29" s="31">
        <v>7</v>
      </c>
      <c r="G29" s="9">
        <v>0</v>
      </c>
      <c r="H29" s="7" t="s">
        <v>1487</v>
      </c>
      <c r="I29" s="7" t="s">
        <v>1438</v>
      </c>
    </row>
    <row r="30" spans="1:9" ht="89.25" x14ac:dyDescent="0.25">
      <c r="A30" s="30" t="s">
        <v>930</v>
      </c>
      <c r="B30" s="31" t="s">
        <v>929</v>
      </c>
      <c r="C30" s="31" t="s">
        <v>327</v>
      </c>
      <c r="D30" s="31" t="s">
        <v>1539</v>
      </c>
      <c r="E30" s="31">
        <v>4</v>
      </c>
      <c r="F30" s="31">
        <v>4</v>
      </c>
      <c r="G30" s="9">
        <v>0</v>
      </c>
      <c r="H30" s="7" t="s">
        <v>1149</v>
      </c>
      <c r="I30" s="7" t="s">
        <v>1438</v>
      </c>
    </row>
    <row r="31" spans="1:9" ht="127.5" x14ac:dyDescent="0.25">
      <c r="A31" s="30" t="s">
        <v>930</v>
      </c>
      <c r="B31" s="31" t="s">
        <v>929</v>
      </c>
      <c r="C31" s="31" t="s">
        <v>327</v>
      </c>
      <c r="D31" s="31" t="s">
        <v>1539</v>
      </c>
      <c r="E31" s="31">
        <v>17</v>
      </c>
      <c r="F31" s="31">
        <v>17</v>
      </c>
      <c r="G31" s="9">
        <v>0</v>
      </c>
      <c r="H31" s="7" t="s">
        <v>1144</v>
      </c>
      <c r="I31" s="7" t="s">
        <v>1438</v>
      </c>
    </row>
    <row r="32" spans="1:9" ht="280.5" x14ac:dyDescent="0.25">
      <c r="A32" s="30" t="s">
        <v>930</v>
      </c>
      <c r="B32" s="31" t="s">
        <v>929</v>
      </c>
      <c r="C32" s="31" t="s">
        <v>57</v>
      </c>
      <c r="D32" s="31" t="s">
        <v>1539</v>
      </c>
      <c r="E32" s="31">
        <v>14</v>
      </c>
      <c r="F32" s="31">
        <v>16</v>
      </c>
      <c r="G32" s="9">
        <v>0</v>
      </c>
      <c r="H32" s="7" t="s">
        <v>1139</v>
      </c>
      <c r="I32" s="7" t="s">
        <v>1438</v>
      </c>
    </row>
    <row r="33" spans="1:9" ht="63.75" x14ac:dyDescent="0.25">
      <c r="A33" s="30" t="s">
        <v>930</v>
      </c>
      <c r="B33" s="31" t="s">
        <v>929</v>
      </c>
      <c r="C33" s="31" t="s">
        <v>724</v>
      </c>
      <c r="D33" s="31" t="s">
        <v>1539</v>
      </c>
      <c r="E33" s="31">
        <v>5</v>
      </c>
      <c r="F33" s="31">
        <v>5</v>
      </c>
      <c r="G33" s="9">
        <v>0</v>
      </c>
      <c r="H33" s="7" t="s">
        <v>1120</v>
      </c>
      <c r="I33" s="7" t="s">
        <v>1438</v>
      </c>
    </row>
    <row r="34" spans="1:9" ht="127.5" x14ac:dyDescent="0.25">
      <c r="A34" s="30" t="s">
        <v>930</v>
      </c>
      <c r="B34" s="31" t="s">
        <v>929</v>
      </c>
      <c r="C34" s="31" t="s">
        <v>754</v>
      </c>
      <c r="D34" s="31" t="s">
        <v>1539</v>
      </c>
      <c r="E34" s="31">
        <v>8</v>
      </c>
      <c r="F34" s="31">
        <v>8</v>
      </c>
      <c r="G34" s="9">
        <v>0</v>
      </c>
      <c r="H34" s="7" t="s">
        <v>1108</v>
      </c>
      <c r="I34" s="7" t="s">
        <v>1438</v>
      </c>
    </row>
    <row r="35" spans="1:9" ht="140.25" x14ac:dyDescent="0.25">
      <c r="A35" s="30" t="s">
        <v>930</v>
      </c>
      <c r="B35" s="31" t="s">
        <v>929</v>
      </c>
      <c r="C35" s="31" t="s">
        <v>246</v>
      </c>
      <c r="D35" s="31" t="s">
        <v>1539</v>
      </c>
      <c r="E35" s="31">
        <v>6</v>
      </c>
      <c r="F35" s="31">
        <v>6</v>
      </c>
      <c r="G35" s="9">
        <v>0</v>
      </c>
      <c r="H35" s="7" t="s">
        <v>1101</v>
      </c>
      <c r="I35" s="7" t="s">
        <v>1438</v>
      </c>
    </row>
    <row r="36" spans="1:9" ht="89.25" x14ac:dyDescent="0.25">
      <c r="A36" s="30" t="s">
        <v>930</v>
      </c>
      <c r="B36" s="31" t="s">
        <v>929</v>
      </c>
      <c r="C36" s="31" t="s">
        <v>234</v>
      </c>
      <c r="D36" s="31" t="s">
        <v>1539</v>
      </c>
      <c r="E36" s="31">
        <v>5</v>
      </c>
      <c r="F36" s="31">
        <v>5</v>
      </c>
      <c r="G36" s="9">
        <v>0</v>
      </c>
      <c r="H36" s="7" t="s">
        <v>1085</v>
      </c>
      <c r="I36" s="7" t="s">
        <v>1438</v>
      </c>
    </row>
    <row r="37" spans="1:9" ht="127.5" x14ac:dyDescent="0.25">
      <c r="A37" s="30" t="s">
        <v>930</v>
      </c>
      <c r="B37" s="31" t="s">
        <v>929</v>
      </c>
      <c r="C37" s="31" t="s">
        <v>616</v>
      </c>
      <c r="D37" s="31" t="s">
        <v>1539</v>
      </c>
      <c r="E37" s="31">
        <v>12</v>
      </c>
      <c r="F37" s="31">
        <v>12</v>
      </c>
      <c r="G37" s="9">
        <v>0</v>
      </c>
      <c r="H37" s="7" t="s">
        <v>1073</v>
      </c>
      <c r="I37" s="7" t="s">
        <v>1438</v>
      </c>
    </row>
    <row r="38" spans="1:9" ht="76.5" x14ac:dyDescent="0.25">
      <c r="A38" s="30" t="s">
        <v>930</v>
      </c>
      <c r="B38" s="31" t="s">
        <v>929</v>
      </c>
      <c r="C38" s="31" t="s">
        <v>716</v>
      </c>
      <c r="D38" s="31" t="s">
        <v>1539</v>
      </c>
      <c r="E38" s="31">
        <v>4</v>
      </c>
      <c r="F38" s="31">
        <v>4</v>
      </c>
      <c r="G38" s="9">
        <v>0</v>
      </c>
      <c r="H38" s="7" t="s">
        <v>1058</v>
      </c>
      <c r="I38" s="7" t="s">
        <v>1438</v>
      </c>
    </row>
    <row r="39" spans="1:9" ht="229.5" x14ac:dyDescent="0.25">
      <c r="A39" s="30" t="s">
        <v>930</v>
      </c>
      <c r="B39" s="31" t="s">
        <v>929</v>
      </c>
      <c r="C39" s="31" t="s">
        <v>716</v>
      </c>
      <c r="D39" s="31" t="s">
        <v>1539</v>
      </c>
      <c r="E39" s="31">
        <v>18</v>
      </c>
      <c r="F39" s="31">
        <v>18</v>
      </c>
      <c r="G39" s="9">
        <v>0</v>
      </c>
      <c r="H39" s="7" t="s">
        <v>1052</v>
      </c>
      <c r="I39" s="7" t="s">
        <v>1438</v>
      </c>
    </row>
    <row r="40" spans="1:9" ht="140.25" x14ac:dyDescent="0.25">
      <c r="A40" s="30" t="s">
        <v>930</v>
      </c>
      <c r="B40" s="31" t="s">
        <v>929</v>
      </c>
      <c r="C40" s="31" t="s">
        <v>272</v>
      </c>
      <c r="D40" s="31" t="s">
        <v>1539</v>
      </c>
      <c r="E40" s="31">
        <v>12</v>
      </c>
      <c r="F40" s="31">
        <v>12</v>
      </c>
      <c r="G40" s="9">
        <v>0</v>
      </c>
      <c r="H40" s="7" t="s">
        <v>1046</v>
      </c>
      <c r="I40" s="7" t="s">
        <v>1438</v>
      </c>
    </row>
    <row r="41" spans="1:9" ht="25.5" x14ac:dyDescent="0.25">
      <c r="A41" s="30" t="s">
        <v>930</v>
      </c>
      <c r="B41" s="31" t="s">
        <v>929</v>
      </c>
      <c r="C41" s="31" t="s">
        <v>553</v>
      </c>
      <c r="D41" s="31" t="s">
        <v>1539</v>
      </c>
      <c r="E41" s="31">
        <v>7</v>
      </c>
      <c r="F41" s="31">
        <v>7</v>
      </c>
      <c r="G41" s="9">
        <v>0</v>
      </c>
      <c r="H41" s="7" t="s">
        <v>1488</v>
      </c>
      <c r="I41" s="7" t="s">
        <v>1438</v>
      </c>
    </row>
    <row r="42" spans="1:9" ht="63.75" x14ac:dyDescent="0.25">
      <c r="A42" s="30" t="s">
        <v>930</v>
      </c>
      <c r="B42" s="31" t="s">
        <v>929</v>
      </c>
      <c r="C42" s="31" t="s">
        <v>693</v>
      </c>
      <c r="D42" s="31" t="s">
        <v>1539</v>
      </c>
      <c r="E42" s="31">
        <v>6</v>
      </c>
      <c r="F42" s="31">
        <v>6</v>
      </c>
      <c r="G42" s="9">
        <v>0</v>
      </c>
      <c r="H42" s="7" t="s">
        <v>1034</v>
      </c>
      <c r="I42" s="7" t="s">
        <v>1438</v>
      </c>
    </row>
    <row r="43" spans="1:9" ht="114.75" x14ac:dyDescent="0.25">
      <c r="A43" s="30" t="s">
        <v>930</v>
      </c>
      <c r="B43" s="31" t="s">
        <v>929</v>
      </c>
      <c r="C43" s="31" t="s">
        <v>199</v>
      </c>
      <c r="D43" s="31" t="s">
        <v>1539</v>
      </c>
      <c r="E43" s="31">
        <v>4</v>
      </c>
      <c r="F43" s="31">
        <v>4</v>
      </c>
      <c r="G43" s="9">
        <v>0</v>
      </c>
      <c r="H43" s="7" t="s">
        <v>1026</v>
      </c>
      <c r="I43" s="7" t="s">
        <v>1438</v>
      </c>
    </row>
    <row r="44" spans="1:9" ht="204" x14ac:dyDescent="0.25">
      <c r="A44" s="30" t="s">
        <v>930</v>
      </c>
      <c r="B44" s="31" t="s">
        <v>929</v>
      </c>
      <c r="C44" s="31" t="s">
        <v>143</v>
      </c>
      <c r="D44" s="31" t="s">
        <v>1539</v>
      </c>
      <c r="E44" s="31">
        <v>7</v>
      </c>
      <c r="F44" s="31">
        <v>9</v>
      </c>
      <c r="G44" s="9">
        <v>0</v>
      </c>
      <c r="H44" s="7" t="s">
        <v>1489</v>
      </c>
      <c r="I44" s="7" t="s">
        <v>1438</v>
      </c>
    </row>
    <row r="45" spans="1:9" ht="89.25" x14ac:dyDescent="0.25">
      <c r="A45" s="30" t="s">
        <v>930</v>
      </c>
      <c r="B45" s="31" t="s">
        <v>929</v>
      </c>
      <c r="C45" s="31" t="s">
        <v>664</v>
      </c>
      <c r="D45" s="31" t="s">
        <v>1539</v>
      </c>
      <c r="E45" s="31">
        <v>4</v>
      </c>
      <c r="F45" s="31">
        <v>4</v>
      </c>
      <c r="G45" s="9">
        <v>0</v>
      </c>
      <c r="H45" s="7" t="s">
        <v>987</v>
      </c>
      <c r="I45" s="7" t="s">
        <v>1438</v>
      </c>
    </row>
    <row r="46" spans="1:9" ht="76.5" x14ac:dyDescent="0.25">
      <c r="A46" s="30" t="s">
        <v>930</v>
      </c>
      <c r="B46" s="31" t="s">
        <v>929</v>
      </c>
      <c r="C46" s="31" t="s">
        <v>574</v>
      </c>
      <c r="D46" s="31" t="s">
        <v>1539</v>
      </c>
      <c r="E46" s="31">
        <v>39</v>
      </c>
      <c r="F46" s="31">
        <v>39</v>
      </c>
      <c r="G46" s="9">
        <v>0</v>
      </c>
      <c r="H46" s="7" t="s">
        <v>968</v>
      </c>
      <c r="I46" s="7" t="s">
        <v>1438</v>
      </c>
    </row>
    <row r="47" spans="1:9" ht="89.25" x14ac:dyDescent="0.25">
      <c r="A47" s="30" t="s">
        <v>930</v>
      </c>
      <c r="B47" s="31" t="s">
        <v>929</v>
      </c>
      <c r="C47" s="31" t="s">
        <v>374</v>
      </c>
      <c r="D47" s="31" t="s">
        <v>1539</v>
      </c>
      <c r="E47" s="31">
        <v>14</v>
      </c>
      <c r="F47" s="31">
        <v>14</v>
      </c>
      <c r="G47" s="9">
        <v>0</v>
      </c>
      <c r="H47" s="7" t="s">
        <v>944</v>
      </c>
      <c r="I47" s="7" t="s">
        <v>1438</v>
      </c>
    </row>
    <row r="48" spans="1:9" ht="76.5" x14ac:dyDescent="0.25">
      <c r="A48" s="30" t="s">
        <v>930</v>
      </c>
      <c r="B48" s="31" t="s">
        <v>929</v>
      </c>
      <c r="C48" s="31" t="s">
        <v>21</v>
      </c>
      <c r="D48" s="31" t="s">
        <v>1540</v>
      </c>
      <c r="E48" s="31">
        <v>10</v>
      </c>
      <c r="F48" s="31">
        <v>10</v>
      </c>
      <c r="G48" s="9">
        <v>0</v>
      </c>
      <c r="H48" s="7" t="s">
        <v>1392</v>
      </c>
      <c r="I48" s="7" t="s">
        <v>1438</v>
      </c>
    </row>
    <row r="49" spans="1:9" ht="63.75" x14ac:dyDescent="0.25">
      <c r="A49" s="30" t="s">
        <v>930</v>
      </c>
      <c r="B49" s="31" t="s">
        <v>929</v>
      </c>
      <c r="C49" s="31" t="s">
        <v>21</v>
      </c>
      <c r="D49" s="31" t="s">
        <v>1540</v>
      </c>
      <c r="E49" s="31">
        <v>33</v>
      </c>
      <c r="F49" s="31">
        <v>33</v>
      </c>
      <c r="G49" s="9">
        <v>0</v>
      </c>
      <c r="H49" s="7" t="s">
        <v>1388</v>
      </c>
      <c r="I49" s="7" t="s">
        <v>1438</v>
      </c>
    </row>
    <row r="50" spans="1:9" ht="102" x14ac:dyDescent="0.25">
      <c r="A50" s="30" t="s">
        <v>930</v>
      </c>
      <c r="B50" s="31" t="s">
        <v>929</v>
      </c>
      <c r="C50" s="31" t="s">
        <v>1667</v>
      </c>
      <c r="D50" s="31" t="s">
        <v>1540</v>
      </c>
      <c r="E50" s="31">
        <v>15</v>
      </c>
      <c r="F50" s="31">
        <v>15</v>
      </c>
      <c r="G50" s="9">
        <v>0</v>
      </c>
      <c r="H50" s="7" t="s">
        <v>1381</v>
      </c>
      <c r="I50" s="7" t="s">
        <v>1438</v>
      </c>
    </row>
    <row r="51" spans="1:9" ht="102" x14ac:dyDescent="0.25">
      <c r="A51" s="30" t="s">
        <v>930</v>
      </c>
      <c r="B51" s="31" t="s">
        <v>929</v>
      </c>
      <c r="C51" s="31" t="s">
        <v>1667</v>
      </c>
      <c r="D51" s="31" t="s">
        <v>1540</v>
      </c>
      <c r="E51" s="31">
        <v>29</v>
      </c>
      <c r="F51" s="31">
        <v>29</v>
      </c>
      <c r="G51" s="9">
        <v>0</v>
      </c>
      <c r="H51" s="7" t="s">
        <v>1379</v>
      </c>
      <c r="I51" s="7" t="s">
        <v>1438</v>
      </c>
    </row>
    <row r="52" spans="1:9" ht="318.75" x14ac:dyDescent="0.25">
      <c r="A52" s="30" t="s">
        <v>930</v>
      </c>
      <c r="B52" s="31" t="s">
        <v>929</v>
      </c>
      <c r="C52" s="31" t="s">
        <v>588</v>
      </c>
      <c r="D52" s="31" t="s">
        <v>1540</v>
      </c>
      <c r="E52" s="31">
        <v>3</v>
      </c>
      <c r="F52" s="31">
        <v>7</v>
      </c>
      <c r="G52" s="9">
        <v>0</v>
      </c>
      <c r="H52" s="7" t="s">
        <v>1358</v>
      </c>
      <c r="I52" s="7" t="s">
        <v>1438</v>
      </c>
    </row>
    <row r="53" spans="1:9" ht="102" x14ac:dyDescent="0.25">
      <c r="A53" s="30" t="s">
        <v>930</v>
      </c>
      <c r="B53" s="31" t="s">
        <v>929</v>
      </c>
      <c r="C53" s="31" t="s">
        <v>588</v>
      </c>
      <c r="D53" s="31" t="s">
        <v>1540</v>
      </c>
      <c r="E53" s="31">
        <v>27</v>
      </c>
      <c r="F53" s="31">
        <v>27</v>
      </c>
      <c r="G53" s="9">
        <v>0</v>
      </c>
      <c r="H53" s="7" t="s">
        <v>1353</v>
      </c>
      <c r="I53" s="7" t="s">
        <v>1438</v>
      </c>
    </row>
    <row r="54" spans="1:9" ht="51" x14ac:dyDescent="0.25">
      <c r="A54" s="30" t="s">
        <v>930</v>
      </c>
      <c r="B54" s="31" t="s">
        <v>929</v>
      </c>
      <c r="C54" s="31" t="s">
        <v>703</v>
      </c>
      <c r="D54" s="31" t="s">
        <v>1540</v>
      </c>
      <c r="E54" s="31">
        <v>11</v>
      </c>
      <c r="F54" s="31">
        <v>11</v>
      </c>
      <c r="G54" s="9">
        <v>0</v>
      </c>
      <c r="H54" s="7" t="s">
        <v>1342</v>
      </c>
      <c r="I54" s="7" t="s">
        <v>1438</v>
      </c>
    </row>
    <row r="55" spans="1:9" ht="178.5" x14ac:dyDescent="0.25">
      <c r="A55" s="30" t="s">
        <v>930</v>
      </c>
      <c r="B55" s="31" t="s">
        <v>929</v>
      </c>
      <c r="C55" s="31" t="s">
        <v>85</v>
      </c>
      <c r="D55" s="31" t="s">
        <v>1540</v>
      </c>
      <c r="E55" s="31">
        <v>12</v>
      </c>
      <c r="F55" s="31">
        <v>12</v>
      </c>
      <c r="G55" s="9">
        <v>0</v>
      </c>
      <c r="H55" s="7" t="s">
        <v>1322</v>
      </c>
      <c r="I55" s="7" t="s">
        <v>1438</v>
      </c>
    </row>
    <row r="56" spans="1:9" ht="153" x14ac:dyDescent="0.25">
      <c r="A56" s="30" t="s">
        <v>930</v>
      </c>
      <c r="B56" s="31" t="s">
        <v>929</v>
      </c>
      <c r="C56" s="31" t="s">
        <v>474</v>
      </c>
      <c r="D56" s="31" t="s">
        <v>1540</v>
      </c>
      <c r="E56" s="31">
        <v>12</v>
      </c>
      <c r="F56" s="31">
        <v>12</v>
      </c>
      <c r="G56" s="9">
        <v>0</v>
      </c>
      <c r="H56" s="7" t="s">
        <v>1307</v>
      </c>
      <c r="I56" s="7" t="s">
        <v>1438</v>
      </c>
    </row>
    <row r="57" spans="1:9" ht="127.5" x14ac:dyDescent="0.25">
      <c r="A57" s="30" t="s">
        <v>930</v>
      </c>
      <c r="B57" s="31" t="s">
        <v>929</v>
      </c>
      <c r="C57" s="31" t="s">
        <v>258</v>
      </c>
      <c r="D57" s="31" t="s">
        <v>1540</v>
      </c>
      <c r="E57" s="31">
        <v>30</v>
      </c>
      <c r="F57" s="31">
        <v>30</v>
      </c>
      <c r="G57" s="9">
        <v>0</v>
      </c>
      <c r="H57" s="7" t="s">
        <v>1200</v>
      </c>
      <c r="I57" s="7" t="s">
        <v>1438</v>
      </c>
    </row>
    <row r="58" spans="1:9" ht="140.25" x14ac:dyDescent="0.25">
      <c r="A58" s="30" t="s">
        <v>930</v>
      </c>
      <c r="B58" s="31" t="s">
        <v>929</v>
      </c>
      <c r="C58" s="31" t="s">
        <v>522</v>
      </c>
      <c r="D58" s="31" t="s">
        <v>1540</v>
      </c>
      <c r="E58" s="31">
        <v>6</v>
      </c>
      <c r="F58" s="31">
        <v>6</v>
      </c>
      <c r="G58" s="9">
        <v>0</v>
      </c>
      <c r="H58" s="7" t="s">
        <v>1094</v>
      </c>
      <c r="I58" s="7" t="s">
        <v>1438</v>
      </c>
    </row>
    <row r="59" spans="1:9" ht="178.5" x14ac:dyDescent="0.25">
      <c r="A59" s="30" t="s">
        <v>930</v>
      </c>
      <c r="B59" s="31" t="s">
        <v>929</v>
      </c>
      <c r="C59" s="31" t="s">
        <v>295</v>
      </c>
      <c r="D59" s="31" t="s">
        <v>1540</v>
      </c>
      <c r="E59" s="31">
        <v>8</v>
      </c>
      <c r="F59" s="31">
        <v>8</v>
      </c>
      <c r="G59" s="9">
        <v>0</v>
      </c>
      <c r="H59" s="7" t="s">
        <v>982</v>
      </c>
      <c r="I59" s="7" t="s">
        <v>1438</v>
      </c>
    </row>
    <row r="60" spans="1:9" ht="102" x14ac:dyDescent="0.25">
      <c r="A60" s="30" t="s">
        <v>930</v>
      </c>
      <c r="B60" s="31" t="s">
        <v>929</v>
      </c>
      <c r="C60" s="31" t="s">
        <v>543</v>
      </c>
      <c r="D60" s="31" t="s">
        <v>1540</v>
      </c>
      <c r="E60" s="31">
        <v>5</v>
      </c>
      <c r="F60" s="31">
        <v>5</v>
      </c>
      <c r="G60" s="9">
        <v>0</v>
      </c>
      <c r="H60" s="7" t="s">
        <v>1490</v>
      </c>
      <c r="I60" s="7" t="s">
        <v>1438</v>
      </c>
    </row>
    <row r="61" spans="1:9" ht="51" x14ac:dyDescent="0.25">
      <c r="A61" s="30" t="s">
        <v>930</v>
      </c>
      <c r="B61" s="31" t="s">
        <v>929</v>
      </c>
      <c r="C61" s="31" t="s">
        <v>1667</v>
      </c>
      <c r="D61" s="31" t="s">
        <v>1541</v>
      </c>
      <c r="E61" s="31">
        <v>10</v>
      </c>
      <c r="F61" s="31">
        <v>10</v>
      </c>
      <c r="G61" s="9">
        <v>0</v>
      </c>
      <c r="H61" s="7" t="s">
        <v>1382</v>
      </c>
      <c r="I61" s="7" t="s">
        <v>1438</v>
      </c>
    </row>
    <row r="62" spans="1:9" ht="89.25" x14ac:dyDescent="0.25">
      <c r="A62" s="30" t="s">
        <v>930</v>
      </c>
      <c r="B62" s="31" t="s">
        <v>929</v>
      </c>
      <c r="C62" s="31" t="s">
        <v>361</v>
      </c>
      <c r="D62" s="31" t="s">
        <v>1541</v>
      </c>
      <c r="E62" s="31">
        <v>8</v>
      </c>
      <c r="F62" s="31">
        <v>8</v>
      </c>
      <c r="G62" s="9">
        <v>0</v>
      </c>
      <c r="H62" s="7" t="s">
        <v>1369</v>
      </c>
      <c r="I62" s="7" t="s">
        <v>1438</v>
      </c>
    </row>
    <row r="63" spans="1:9" ht="153" x14ac:dyDescent="0.25">
      <c r="A63" s="30" t="s">
        <v>930</v>
      </c>
      <c r="B63" s="31" t="s">
        <v>929</v>
      </c>
      <c r="C63" s="31" t="s">
        <v>85</v>
      </c>
      <c r="D63" s="31" t="s">
        <v>1541</v>
      </c>
      <c r="E63" s="31">
        <v>10</v>
      </c>
      <c r="F63" s="31">
        <v>11</v>
      </c>
      <c r="G63" s="9">
        <v>0</v>
      </c>
      <c r="H63" s="7" t="s">
        <v>1323</v>
      </c>
      <c r="I63" s="7" t="s">
        <v>1438</v>
      </c>
    </row>
    <row r="64" spans="1:9" ht="127.5" x14ac:dyDescent="0.25">
      <c r="A64" s="30" t="s">
        <v>930</v>
      </c>
      <c r="B64" s="31" t="s">
        <v>929</v>
      </c>
      <c r="C64" s="31" t="s">
        <v>744</v>
      </c>
      <c r="D64" s="31" t="s">
        <v>1541</v>
      </c>
      <c r="E64" s="31">
        <v>10</v>
      </c>
      <c r="F64" s="31">
        <v>10</v>
      </c>
      <c r="G64" s="9">
        <v>0</v>
      </c>
      <c r="H64" s="7" t="s">
        <v>1258</v>
      </c>
      <c r="I64" s="7" t="s">
        <v>1438</v>
      </c>
    </row>
    <row r="65" spans="1:9" ht="242.25" x14ac:dyDescent="0.25">
      <c r="A65" s="30" t="s">
        <v>930</v>
      </c>
      <c r="B65" s="31" t="s">
        <v>929</v>
      </c>
      <c r="C65" s="31" t="s">
        <v>744</v>
      </c>
      <c r="D65" s="31" t="s">
        <v>1541</v>
      </c>
      <c r="E65" s="31">
        <v>40</v>
      </c>
      <c r="F65" s="31">
        <v>41</v>
      </c>
      <c r="G65" s="9">
        <v>0</v>
      </c>
      <c r="H65" s="7" t="s">
        <v>1254</v>
      </c>
      <c r="I65" s="7" t="s">
        <v>1438</v>
      </c>
    </row>
    <row r="66" spans="1:9" ht="76.5" x14ac:dyDescent="0.25">
      <c r="A66" s="30" t="s">
        <v>930</v>
      </c>
      <c r="B66" s="31" t="s">
        <v>929</v>
      </c>
      <c r="C66" s="31" t="s">
        <v>67</v>
      </c>
      <c r="D66" s="31" t="s">
        <v>1541</v>
      </c>
      <c r="E66" s="31">
        <v>5</v>
      </c>
      <c r="F66" s="31">
        <v>5</v>
      </c>
      <c r="G66" s="9">
        <v>0</v>
      </c>
      <c r="H66" s="7" t="s">
        <v>1246</v>
      </c>
      <c r="I66" s="7" t="s">
        <v>1438</v>
      </c>
    </row>
    <row r="67" spans="1:9" ht="242.25" x14ac:dyDescent="0.25">
      <c r="A67" s="30" t="s">
        <v>930</v>
      </c>
      <c r="B67" s="31" t="s">
        <v>929</v>
      </c>
      <c r="C67" s="31" t="s">
        <v>67</v>
      </c>
      <c r="D67" s="31" t="s">
        <v>1541</v>
      </c>
      <c r="E67" s="31">
        <v>34</v>
      </c>
      <c r="F67" s="31">
        <v>35</v>
      </c>
      <c r="G67" s="9">
        <v>0</v>
      </c>
      <c r="H67" s="7" t="s">
        <v>1232</v>
      </c>
      <c r="I67" s="7" t="s">
        <v>1438</v>
      </c>
    </row>
    <row r="68" spans="1:9" ht="89.25" x14ac:dyDescent="0.25">
      <c r="A68" s="30" t="s">
        <v>930</v>
      </c>
      <c r="B68" s="31" t="s">
        <v>929</v>
      </c>
      <c r="C68" s="31" t="s">
        <v>399</v>
      </c>
      <c r="D68" s="31" t="s">
        <v>1541</v>
      </c>
      <c r="E68" s="31">
        <v>8</v>
      </c>
      <c r="F68" s="31">
        <v>8</v>
      </c>
      <c r="G68" s="9">
        <v>0</v>
      </c>
      <c r="H68" s="7" t="s">
        <v>1223</v>
      </c>
      <c r="I68" s="7" t="s">
        <v>1438</v>
      </c>
    </row>
    <row r="69" spans="1:9" ht="153" x14ac:dyDescent="0.25">
      <c r="A69" s="30" t="s">
        <v>930</v>
      </c>
      <c r="B69" s="31" t="s">
        <v>929</v>
      </c>
      <c r="C69" s="31" t="s">
        <v>168</v>
      </c>
      <c r="D69" s="31" t="s">
        <v>1541</v>
      </c>
      <c r="E69" s="31">
        <v>6</v>
      </c>
      <c r="F69" s="31">
        <v>6</v>
      </c>
      <c r="G69" s="9">
        <v>0</v>
      </c>
      <c r="H69" s="7" t="s">
        <v>1212</v>
      </c>
      <c r="I69" s="7" t="s">
        <v>1438</v>
      </c>
    </row>
    <row r="70" spans="1:9" ht="51" x14ac:dyDescent="0.25">
      <c r="A70" s="30" t="s">
        <v>930</v>
      </c>
      <c r="B70" s="31" t="s">
        <v>929</v>
      </c>
      <c r="C70" s="31" t="s">
        <v>258</v>
      </c>
      <c r="D70" s="31" t="s">
        <v>1541</v>
      </c>
      <c r="E70" s="31">
        <v>15</v>
      </c>
      <c r="F70" s="31">
        <v>15</v>
      </c>
      <c r="G70" s="9">
        <v>0</v>
      </c>
      <c r="H70" s="7" t="s">
        <v>1204</v>
      </c>
      <c r="I70" s="7" t="s">
        <v>1438</v>
      </c>
    </row>
    <row r="71" spans="1:9" ht="114.75" x14ac:dyDescent="0.25">
      <c r="A71" s="30" t="s">
        <v>930</v>
      </c>
      <c r="B71" s="31" t="s">
        <v>929</v>
      </c>
      <c r="C71" s="31" t="s">
        <v>41</v>
      </c>
      <c r="D71" s="31" t="s">
        <v>1541</v>
      </c>
      <c r="E71" s="31">
        <v>4</v>
      </c>
      <c r="F71" s="31">
        <v>4</v>
      </c>
      <c r="G71" s="9">
        <v>0</v>
      </c>
      <c r="H71" s="7" t="s">
        <v>1166</v>
      </c>
      <c r="I71" s="7" t="s">
        <v>1438</v>
      </c>
    </row>
    <row r="72" spans="1:9" ht="229.5" x14ac:dyDescent="0.25">
      <c r="A72" s="30" t="s">
        <v>930</v>
      </c>
      <c r="B72" s="31" t="s">
        <v>929</v>
      </c>
      <c r="C72" s="31" t="s">
        <v>465</v>
      </c>
      <c r="D72" s="31" t="s">
        <v>1541</v>
      </c>
      <c r="E72" s="31">
        <v>11</v>
      </c>
      <c r="F72" s="31">
        <v>12</v>
      </c>
      <c r="G72" s="9">
        <v>0</v>
      </c>
      <c r="H72" s="7" t="s">
        <v>967</v>
      </c>
      <c r="I72" s="7" t="s">
        <v>1438</v>
      </c>
    </row>
    <row r="73" spans="1:9" ht="216.75" x14ac:dyDescent="0.25">
      <c r="A73" s="30" t="s">
        <v>930</v>
      </c>
      <c r="B73" s="31" t="s">
        <v>929</v>
      </c>
      <c r="C73" s="31" t="s">
        <v>465</v>
      </c>
      <c r="D73" s="31" t="s">
        <v>1541</v>
      </c>
      <c r="E73" s="31">
        <v>33</v>
      </c>
      <c r="F73" s="31">
        <v>33</v>
      </c>
      <c r="G73" s="9">
        <v>0</v>
      </c>
      <c r="H73" s="7" t="s">
        <v>963</v>
      </c>
      <c r="I73" s="7" t="s">
        <v>1438</v>
      </c>
    </row>
    <row r="74" spans="1:9" ht="102" x14ac:dyDescent="0.25">
      <c r="A74" s="30" t="s">
        <v>930</v>
      </c>
      <c r="B74" s="31" t="s">
        <v>929</v>
      </c>
      <c r="C74" s="31" t="s">
        <v>351</v>
      </c>
      <c r="D74" s="31" t="s">
        <v>1542</v>
      </c>
      <c r="E74" s="31">
        <v>6</v>
      </c>
      <c r="F74" s="31">
        <v>6</v>
      </c>
      <c r="G74" s="9">
        <v>0</v>
      </c>
      <c r="H74" s="7" t="s">
        <v>1425</v>
      </c>
      <c r="I74" s="7" t="s">
        <v>1438</v>
      </c>
    </row>
    <row r="75" spans="1:9" ht="114.75" x14ac:dyDescent="0.25">
      <c r="A75" s="30" t="s">
        <v>930</v>
      </c>
      <c r="B75" s="31" t="s">
        <v>929</v>
      </c>
      <c r="C75" s="31" t="s">
        <v>766</v>
      </c>
      <c r="D75" s="31" t="s">
        <v>1542</v>
      </c>
      <c r="E75" s="31">
        <v>22</v>
      </c>
      <c r="F75" s="31">
        <v>22</v>
      </c>
      <c r="G75" s="9">
        <v>0</v>
      </c>
      <c r="H75" s="7" t="s">
        <v>1290</v>
      </c>
      <c r="I75" s="7" t="s">
        <v>1438</v>
      </c>
    </row>
    <row r="76" spans="1:9" ht="140.25" x14ac:dyDescent="0.25">
      <c r="A76" s="30" t="s">
        <v>930</v>
      </c>
      <c r="B76" s="31" t="s">
        <v>929</v>
      </c>
      <c r="C76" s="31" t="s">
        <v>766</v>
      </c>
      <c r="D76" s="31" t="s">
        <v>1542</v>
      </c>
      <c r="E76" s="31">
        <v>33</v>
      </c>
      <c r="F76" s="31">
        <v>33</v>
      </c>
      <c r="G76" s="9">
        <v>0</v>
      </c>
      <c r="H76" s="7" t="s">
        <v>1287</v>
      </c>
      <c r="I76" s="7" t="s">
        <v>1438</v>
      </c>
    </row>
    <row r="77" spans="1:9" ht="63.75" x14ac:dyDescent="0.25">
      <c r="A77" s="30" t="s">
        <v>930</v>
      </c>
      <c r="B77" s="31" t="s">
        <v>929</v>
      </c>
      <c r="C77" s="31" t="s">
        <v>511</v>
      </c>
      <c r="D77" s="31" t="s">
        <v>1542</v>
      </c>
      <c r="E77" s="31">
        <v>5</v>
      </c>
      <c r="F77" s="31">
        <v>5</v>
      </c>
      <c r="G77" s="9">
        <v>0</v>
      </c>
      <c r="H77" s="7" t="s">
        <v>959</v>
      </c>
      <c r="I77" s="7" t="s">
        <v>1438</v>
      </c>
    </row>
    <row r="78" spans="1:9" ht="25.5" x14ac:dyDescent="0.25">
      <c r="A78" s="32" t="s">
        <v>930</v>
      </c>
      <c r="B78" s="31" t="s">
        <v>929</v>
      </c>
      <c r="C78" s="31" t="s">
        <v>918</v>
      </c>
      <c r="D78" s="31" t="s">
        <v>1543</v>
      </c>
      <c r="E78" s="31">
        <v>8</v>
      </c>
      <c r="F78" s="31">
        <v>8</v>
      </c>
      <c r="G78" s="9">
        <v>0</v>
      </c>
      <c r="H78" s="7" t="s">
        <v>1415</v>
      </c>
      <c r="I78" s="7" t="s">
        <v>1438</v>
      </c>
    </row>
    <row r="79" spans="1:9" ht="51" x14ac:dyDescent="0.25">
      <c r="A79" s="32" t="s">
        <v>930</v>
      </c>
      <c r="B79" s="31" t="s">
        <v>929</v>
      </c>
      <c r="C79" s="31" t="s">
        <v>918</v>
      </c>
      <c r="D79" s="31" t="s">
        <v>1543</v>
      </c>
      <c r="E79" s="31">
        <v>9</v>
      </c>
      <c r="F79" s="31">
        <v>9</v>
      </c>
      <c r="G79" s="9">
        <v>0</v>
      </c>
      <c r="H79" s="7" t="s">
        <v>1414</v>
      </c>
      <c r="I79" s="7" t="s">
        <v>1438</v>
      </c>
    </row>
    <row r="80" spans="1:9" ht="102" x14ac:dyDescent="0.25">
      <c r="A80" s="32" t="s">
        <v>930</v>
      </c>
      <c r="B80" s="31" t="s">
        <v>929</v>
      </c>
      <c r="C80" s="31" t="s">
        <v>918</v>
      </c>
      <c r="D80" s="31" t="s">
        <v>1543</v>
      </c>
      <c r="E80" s="31">
        <v>10</v>
      </c>
      <c r="F80" s="31">
        <v>10</v>
      </c>
      <c r="G80" s="9">
        <v>0</v>
      </c>
      <c r="H80" s="7" t="s">
        <v>1413</v>
      </c>
      <c r="I80" s="7" t="s">
        <v>1438</v>
      </c>
    </row>
    <row r="81" spans="1:9" ht="153" x14ac:dyDescent="0.25">
      <c r="A81" s="32" t="s">
        <v>930</v>
      </c>
      <c r="B81" s="31" t="s">
        <v>929</v>
      </c>
      <c r="C81" s="31" t="s">
        <v>918</v>
      </c>
      <c r="D81" s="31" t="s">
        <v>1543</v>
      </c>
      <c r="E81" s="31">
        <v>12</v>
      </c>
      <c r="F81" s="31">
        <v>12</v>
      </c>
      <c r="G81" s="9">
        <v>0</v>
      </c>
      <c r="H81" s="7" t="s">
        <v>1412</v>
      </c>
      <c r="I81" s="7" t="s">
        <v>1438</v>
      </c>
    </row>
    <row r="82" spans="1:9" ht="76.5" x14ac:dyDescent="0.25">
      <c r="A82" s="32" t="s">
        <v>930</v>
      </c>
      <c r="B82" s="31" t="s">
        <v>929</v>
      </c>
      <c r="C82" s="31" t="s">
        <v>918</v>
      </c>
      <c r="D82" s="31" t="s">
        <v>1543</v>
      </c>
      <c r="E82" s="31">
        <v>14</v>
      </c>
      <c r="F82" s="31">
        <v>14</v>
      </c>
      <c r="G82" s="9">
        <v>0</v>
      </c>
      <c r="H82" s="7" t="s">
        <v>1411</v>
      </c>
      <c r="I82" s="7" t="s">
        <v>1438</v>
      </c>
    </row>
    <row r="83" spans="1:9" ht="178.5" x14ac:dyDescent="0.25">
      <c r="A83" s="32" t="s">
        <v>930</v>
      </c>
      <c r="B83" s="31" t="s">
        <v>929</v>
      </c>
      <c r="C83" s="31" t="s">
        <v>918</v>
      </c>
      <c r="D83" s="31" t="s">
        <v>1543</v>
      </c>
      <c r="E83" s="31">
        <v>16</v>
      </c>
      <c r="F83" s="31">
        <v>19</v>
      </c>
      <c r="G83" s="9">
        <v>0</v>
      </c>
      <c r="H83" s="7" t="s">
        <v>1410</v>
      </c>
      <c r="I83" s="7" t="s">
        <v>1438</v>
      </c>
    </row>
    <row r="84" spans="1:9" ht="153" x14ac:dyDescent="0.25">
      <c r="A84" s="32" t="s">
        <v>930</v>
      </c>
      <c r="B84" s="31" t="s">
        <v>929</v>
      </c>
      <c r="C84" s="31" t="s">
        <v>918</v>
      </c>
      <c r="D84" s="31" t="s">
        <v>1543</v>
      </c>
      <c r="E84" s="31">
        <v>23</v>
      </c>
      <c r="F84" s="31">
        <v>23</v>
      </c>
      <c r="G84" s="9">
        <v>0</v>
      </c>
      <c r="H84" s="7" t="s">
        <v>1408</v>
      </c>
      <c r="I84" s="7" t="s">
        <v>1438</v>
      </c>
    </row>
    <row r="85" spans="1:9" ht="255" x14ac:dyDescent="0.25">
      <c r="A85" s="32" t="s">
        <v>930</v>
      </c>
      <c r="B85" s="31" t="s">
        <v>929</v>
      </c>
      <c r="C85" s="31" t="s">
        <v>918</v>
      </c>
      <c r="D85" s="31" t="s">
        <v>1543</v>
      </c>
      <c r="E85" s="31">
        <v>24</v>
      </c>
      <c r="F85" s="31">
        <v>24</v>
      </c>
      <c r="G85" s="9">
        <v>0</v>
      </c>
      <c r="H85" s="7" t="s">
        <v>1665</v>
      </c>
      <c r="I85" s="7" t="s">
        <v>1438</v>
      </c>
    </row>
    <row r="86" spans="1:9" ht="178.5" x14ac:dyDescent="0.25">
      <c r="A86" s="32" t="s">
        <v>930</v>
      </c>
      <c r="B86" s="31" t="s">
        <v>929</v>
      </c>
      <c r="C86" s="31" t="s">
        <v>918</v>
      </c>
      <c r="D86" s="31" t="s">
        <v>1543</v>
      </c>
      <c r="E86" s="31">
        <v>26</v>
      </c>
      <c r="F86" s="31">
        <v>26</v>
      </c>
      <c r="G86" s="9">
        <v>0</v>
      </c>
      <c r="H86" s="7" t="s">
        <v>1406</v>
      </c>
      <c r="I86" s="7" t="s">
        <v>1438</v>
      </c>
    </row>
    <row r="87" spans="1:9" ht="102" x14ac:dyDescent="0.25">
      <c r="A87" s="32" t="s">
        <v>930</v>
      </c>
      <c r="B87" s="31" t="s">
        <v>929</v>
      </c>
      <c r="C87" s="31" t="s">
        <v>97</v>
      </c>
      <c r="D87" s="31" t="s">
        <v>1543</v>
      </c>
      <c r="E87" s="31">
        <v>10</v>
      </c>
      <c r="F87" s="31">
        <v>10</v>
      </c>
      <c r="G87" s="9">
        <v>0</v>
      </c>
      <c r="H87" s="7" t="s">
        <v>1401</v>
      </c>
      <c r="I87" s="7" t="s">
        <v>1438</v>
      </c>
    </row>
    <row r="88" spans="1:9" ht="153" x14ac:dyDescent="0.25">
      <c r="A88" s="32" t="s">
        <v>930</v>
      </c>
      <c r="B88" s="31" t="s">
        <v>929</v>
      </c>
      <c r="C88" s="31" t="s">
        <v>97</v>
      </c>
      <c r="D88" s="31" t="s">
        <v>1543</v>
      </c>
      <c r="E88" s="31">
        <v>21</v>
      </c>
      <c r="F88" s="31">
        <v>21</v>
      </c>
      <c r="G88" s="9">
        <v>0</v>
      </c>
      <c r="H88" s="7" t="s">
        <v>1398</v>
      </c>
      <c r="I88" s="7" t="s">
        <v>1438</v>
      </c>
    </row>
    <row r="89" spans="1:9" ht="140.25" x14ac:dyDescent="0.25">
      <c r="A89" s="32" t="s">
        <v>930</v>
      </c>
      <c r="B89" s="31" t="s">
        <v>929</v>
      </c>
      <c r="C89" s="31" t="s">
        <v>97</v>
      </c>
      <c r="D89" s="31" t="s">
        <v>1543</v>
      </c>
      <c r="E89" s="31">
        <v>24</v>
      </c>
      <c r="F89" s="31">
        <v>24</v>
      </c>
      <c r="G89" s="9">
        <v>0</v>
      </c>
      <c r="H89" s="7" t="s">
        <v>1397</v>
      </c>
      <c r="I89" s="7" t="s">
        <v>1438</v>
      </c>
    </row>
    <row r="90" spans="1:9" ht="76.5" x14ac:dyDescent="0.25">
      <c r="A90" s="32" t="s">
        <v>930</v>
      </c>
      <c r="B90" s="31" t="s">
        <v>929</v>
      </c>
      <c r="C90" s="31" t="s">
        <v>97</v>
      </c>
      <c r="D90" s="31" t="s">
        <v>1543</v>
      </c>
      <c r="E90" s="31">
        <v>30</v>
      </c>
      <c r="F90" s="31">
        <v>30</v>
      </c>
      <c r="G90" s="9">
        <v>0</v>
      </c>
      <c r="H90" s="7" t="s">
        <v>1396</v>
      </c>
      <c r="I90" s="7" t="s">
        <v>1438</v>
      </c>
    </row>
    <row r="91" spans="1:9" ht="318.75" x14ac:dyDescent="0.25">
      <c r="A91" s="32" t="s">
        <v>930</v>
      </c>
      <c r="B91" s="31" t="s">
        <v>929</v>
      </c>
      <c r="C91" s="31" t="s">
        <v>97</v>
      </c>
      <c r="D91" s="31" t="s">
        <v>1543</v>
      </c>
      <c r="E91" s="31">
        <v>31</v>
      </c>
      <c r="F91" s="31">
        <v>35</v>
      </c>
      <c r="G91" s="9">
        <v>0</v>
      </c>
      <c r="H91" s="7" t="s">
        <v>1395</v>
      </c>
      <c r="I91" s="7" t="s">
        <v>1438</v>
      </c>
    </row>
    <row r="92" spans="1:9" ht="114.75" x14ac:dyDescent="0.25">
      <c r="A92" s="32" t="s">
        <v>930</v>
      </c>
      <c r="B92" s="31" t="s">
        <v>929</v>
      </c>
      <c r="C92" s="31" t="s">
        <v>97</v>
      </c>
      <c r="D92" s="31" t="s">
        <v>1543</v>
      </c>
      <c r="E92" s="31">
        <v>44</v>
      </c>
      <c r="F92" s="31">
        <v>44</v>
      </c>
      <c r="G92" s="9">
        <v>0</v>
      </c>
      <c r="H92" s="7" t="s">
        <v>1394</v>
      </c>
      <c r="I92" s="7" t="s">
        <v>1438</v>
      </c>
    </row>
    <row r="93" spans="1:9" ht="229.5" x14ac:dyDescent="0.25">
      <c r="A93" s="32" t="s">
        <v>930</v>
      </c>
      <c r="B93" s="31" t="s">
        <v>929</v>
      </c>
      <c r="C93" s="31" t="s">
        <v>21</v>
      </c>
      <c r="D93" s="31" t="s">
        <v>1543</v>
      </c>
      <c r="E93" s="31">
        <v>17</v>
      </c>
      <c r="F93" s="31">
        <v>18</v>
      </c>
      <c r="G93" s="9">
        <v>0</v>
      </c>
      <c r="H93" s="7" t="s">
        <v>1391</v>
      </c>
      <c r="I93" s="7" t="s">
        <v>1438</v>
      </c>
    </row>
    <row r="94" spans="1:9" ht="102" x14ac:dyDescent="0.25">
      <c r="A94" s="32" t="s">
        <v>930</v>
      </c>
      <c r="B94" s="31" t="s">
        <v>929</v>
      </c>
      <c r="C94" s="31" t="s">
        <v>21</v>
      </c>
      <c r="D94" s="31" t="s">
        <v>1543</v>
      </c>
      <c r="E94" s="31">
        <v>19</v>
      </c>
      <c r="F94" s="31">
        <v>19</v>
      </c>
      <c r="G94" s="9">
        <v>0</v>
      </c>
      <c r="H94" s="7" t="s">
        <v>1390</v>
      </c>
      <c r="I94" s="7" t="s">
        <v>1438</v>
      </c>
    </row>
    <row r="95" spans="1:9" ht="114.75" x14ac:dyDescent="0.25">
      <c r="A95" s="32" t="s">
        <v>930</v>
      </c>
      <c r="B95" s="31" t="s">
        <v>929</v>
      </c>
      <c r="C95" s="31" t="s">
        <v>21</v>
      </c>
      <c r="D95" s="31" t="s">
        <v>1543</v>
      </c>
      <c r="E95" s="31">
        <v>42</v>
      </c>
      <c r="F95" s="31">
        <v>42</v>
      </c>
      <c r="G95" s="9">
        <v>0</v>
      </c>
      <c r="H95" s="7" t="s">
        <v>1386</v>
      </c>
      <c r="I95" s="7" t="s">
        <v>1438</v>
      </c>
    </row>
    <row r="96" spans="1:9" ht="153" x14ac:dyDescent="0.25">
      <c r="A96" s="32" t="s">
        <v>930</v>
      </c>
      <c r="B96" s="31" t="s">
        <v>929</v>
      </c>
      <c r="C96" s="31" t="s">
        <v>155</v>
      </c>
      <c r="D96" s="31" t="s">
        <v>1543</v>
      </c>
      <c r="E96" s="31">
        <v>10</v>
      </c>
      <c r="F96" s="31">
        <v>10</v>
      </c>
      <c r="G96" s="9">
        <v>0</v>
      </c>
      <c r="H96" s="7" t="s">
        <v>1385</v>
      </c>
      <c r="I96" s="7" t="s">
        <v>1438</v>
      </c>
    </row>
    <row r="97" spans="1:9" ht="153" x14ac:dyDescent="0.25">
      <c r="A97" s="32" t="s">
        <v>930</v>
      </c>
      <c r="B97" s="31" t="s">
        <v>929</v>
      </c>
      <c r="C97" s="31" t="s">
        <v>155</v>
      </c>
      <c r="D97" s="31" t="s">
        <v>1543</v>
      </c>
      <c r="E97" s="31">
        <v>16</v>
      </c>
      <c r="F97" s="31">
        <v>16</v>
      </c>
      <c r="G97" s="9">
        <v>0</v>
      </c>
      <c r="H97" s="7" t="s">
        <v>1384</v>
      </c>
      <c r="I97" s="7" t="s">
        <v>1438</v>
      </c>
    </row>
    <row r="98" spans="1:9" ht="76.5" x14ac:dyDescent="0.25">
      <c r="A98" s="32" t="s">
        <v>930</v>
      </c>
      <c r="B98" s="31" t="s">
        <v>929</v>
      </c>
      <c r="C98" s="31" t="s">
        <v>1667</v>
      </c>
      <c r="D98" s="31" t="s">
        <v>1543</v>
      </c>
      <c r="E98" s="31">
        <v>44</v>
      </c>
      <c r="F98" s="31">
        <v>44</v>
      </c>
      <c r="G98" s="9">
        <v>0</v>
      </c>
      <c r="H98" s="7" t="s">
        <v>1378</v>
      </c>
      <c r="I98" s="7" t="s">
        <v>1438</v>
      </c>
    </row>
    <row r="99" spans="1:9" ht="114.75" x14ac:dyDescent="0.25">
      <c r="A99" s="32" t="s">
        <v>930</v>
      </c>
      <c r="B99" s="31" t="s">
        <v>929</v>
      </c>
      <c r="C99" s="31" t="s">
        <v>361</v>
      </c>
      <c r="D99" s="31" t="s">
        <v>1543</v>
      </c>
      <c r="E99" s="31">
        <v>4</v>
      </c>
      <c r="F99" s="31">
        <v>4</v>
      </c>
      <c r="G99" s="9">
        <v>0</v>
      </c>
      <c r="H99" s="7" t="s">
        <v>1371</v>
      </c>
      <c r="I99" s="7" t="s">
        <v>1438</v>
      </c>
    </row>
    <row r="100" spans="1:9" ht="102" x14ac:dyDescent="0.25">
      <c r="A100" s="32" t="s">
        <v>930</v>
      </c>
      <c r="B100" s="31" t="s">
        <v>929</v>
      </c>
      <c r="C100" s="31" t="s">
        <v>361</v>
      </c>
      <c r="D100" s="31" t="s">
        <v>1543</v>
      </c>
      <c r="E100" s="31">
        <v>5</v>
      </c>
      <c r="F100" s="31">
        <v>5</v>
      </c>
      <c r="G100" s="9">
        <v>0</v>
      </c>
      <c r="H100" s="7" t="s">
        <v>1370</v>
      </c>
      <c r="I100" s="7" t="s">
        <v>1438</v>
      </c>
    </row>
    <row r="101" spans="1:9" ht="76.5" x14ac:dyDescent="0.25">
      <c r="A101" s="32" t="s">
        <v>930</v>
      </c>
      <c r="B101" s="31" t="s">
        <v>929</v>
      </c>
      <c r="C101" s="31" t="s">
        <v>361</v>
      </c>
      <c r="D101" s="31" t="s">
        <v>1543</v>
      </c>
      <c r="E101" s="31">
        <v>12</v>
      </c>
      <c r="F101" s="31">
        <v>12</v>
      </c>
      <c r="G101" s="9">
        <v>0</v>
      </c>
      <c r="H101" s="7" t="s">
        <v>1368</v>
      </c>
      <c r="I101" s="7" t="s">
        <v>1438</v>
      </c>
    </row>
    <row r="102" spans="1:9" ht="63.75" x14ac:dyDescent="0.25">
      <c r="A102" s="32" t="s">
        <v>930</v>
      </c>
      <c r="B102" s="31" t="s">
        <v>929</v>
      </c>
      <c r="C102" s="31" t="s">
        <v>361</v>
      </c>
      <c r="D102" s="31" t="s">
        <v>1543</v>
      </c>
      <c r="E102" s="31">
        <v>13</v>
      </c>
      <c r="F102" s="31">
        <v>13</v>
      </c>
      <c r="G102" s="9">
        <v>0</v>
      </c>
      <c r="H102" s="7" t="s">
        <v>1367</v>
      </c>
      <c r="I102" s="7" t="s">
        <v>1438</v>
      </c>
    </row>
    <row r="103" spans="1:9" ht="63.75" x14ac:dyDescent="0.25">
      <c r="A103" s="32" t="s">
        <v>930</v>
      </c>
      <c r="B103" s="31" t="s">
        <v>929</v>
      </c>
      <c r="C103" s="31" t="s">
        <v>361</v>
      </c>
      <c r="D103" s="31" t="s">
        <v>1543</v>
      </c>
      <c r="E103" s="31">
        <v>14</v>
      </c>
      <c r="F103" s="31">
        <v>14</v>
      </c>
      <c r="G103" s="9">
        <v>0</v>
      </c>
      <c r="H103" s="7" t="s">
        <v>1366</v>
      </c>
      <c r="I103" s="7" t="s">
        <v>1438</v>
      </c>
    </row>
    <row r="104" spans="1:9" ht="63.75" x14ac:dyDescent="0.25">
      <c r="A104" s="32" t="s">
        <v>930</v>
      </c>
      <c r="B104" s="31" t="s">
        <v>929</v>
      </c>
      <c r="C104" s="31" t="s">
        <v>361</v>
      </c>
      <c r="D104" s="31" t="s">
        <v>1543</v>
      </c>
      <c r="E104" s="31">
        <v>15</v>
      </c>
      <c r="F104" s="31">
        <v>15</v>
      </c>
      <c r="G104" s="9">
        <v>0</v>
      </c>
      <c r="H104" s="7" t="s">
        <v>1365</v>
      </c>
      <c r="I104" s="7" t="s">
        <v>1438</v>
      </c>
    </row>
    <row r="105" spans="1:9" ht="153" x14ac:dyDescent="0.25">
      <c r="A105" s="32" t="s">
        <v>930</v>
      </c>
      <c r="B105" s="31" t="s">
        <v>929</v>
      </c>
      <c r="C105" s="31" t="s">
        <v>361</v>
      </c>
      <c r="D105" s="31" t="s">
        <v>1543</v>
      </c>
      <c r="E105" s="31">
        <v>18</v>
      </c>
      <c r="F105" s="31">
        <v>18</v>
      </c>
      <c r="G105" s="9">
        <v>0</v>
      </c>
      <c r="H105" s="7" t="s">
        <v>1364</v>
      </c>
      <c r="I105" s="7" t="s">
        <v>1438</v>
      </c>
    </row>
    <row r="106" spans="1:9" ht="127.5" x14ac:dyDescent="0.25">
      <c r="A106" s="32" t="s">
        <v>930</v>
      </c>
      <c r="B106" s="31" t="s">
        <v>929</v>
      </c>
      <c r="C106" s="31" t="s">
        <v>361</v>
      </c>
      <c r="D106" s="31" t="s">
        <v>1543</v>
      </c>
      <c r="E106" s="31">
        <v>20</v>
      </c>
      <c r="F106" s="31">
        <v>20</v>
      </c>
      <c r="G106" s="9">
        <v>0</v>
      </c>
      <c r="H106" s="7" t="s">
        <v>1363</v>
      </c>
      <c r="I106" s="7" t="s">
        <v>1438</v>
      </c>
    </row>
    <row r="107" spans="1:9" ht="153" x14ac:dyDescent="0.25">
      <c r="A107" s="32" t="s">
        <v>930</v>
      </c>
      <c r="B107" s="31" t="s">
        <v>929</v>
      </c>
      <c r="C107" s="31" t="s">
        <v>361</v>
      </c>
      <c r="D107" s="31" t="s">
        <v>1543</v>
      </c>
      <c r="E107" s="31">
        <v>22</v>
      </c>
      <c r="F107" s="31">
        <v>22</v>
      </c>
      <c r="G107" s="9">
        <v>0</v>
      </c>
      <c r="H107" s="7" t="s">
        <v>1362</v>
      </c>
      <c r="I107" s="7" t="s">
        <v>1438</v>
      </c>
    </row>
    <row r="108" spans="1:9" ht="89.25" x14ac:dyDescent="0.25">
      <c r="A108" s="32" t="s">
        <v>930</v>
      </c>
      <c r="B108" s="31" t="s">
        <v>929</v>
      </c>
      <c r="C108" s="31" t="s">
        <v>361</v>
      </c>
      <c r="D108" s="31" t="s">
        <v>1543</v>
      </c>
      <c r="E108" s="31">
        <v>22</v>
      </c>
      <c r="F108" s="31">
        <v>22</v>
      </c>
      <c r="G108" s="9">
        <v>0</v>
      </c>
      <c r="H108" s="7" t="s">
        <v>1361</v>
      </c>
      <c r="I108" s="7" t="s">
        <v>1438</v>
      </c>
    </row>
    <row r="109" spans="1:9" ht="293.25" x14ac:dyDescent="0.25">
      <c r="A109" s="32" t="s">
        <v>930</v>
      </c>
      <c r="B109" s="31" t="s">
        <v>929</v>
      </c>
      <c r="C109" s="31" t="s">
        <v>361</v>
      </c>
      <c r="D109" s="31" t="s">
        <v>1543</v>
      </c>
      <c r="E109" s="31">
        <v>23</v>
      </c>
      <c r="F109" s="31">
        <v>24</v>
      </c>
      <c r="G109" s="9">
        <v>0</v>
      </c>
      <c r="H109" s="7" t="s">
        <v>1360</v>
      </c>
      <c r="I109" s="7" t="s">
        <v>1438</v>
      </c>
    </row>
    <row r="110" spans="1:9" ht="127.5" x14ac:dyDescent="0.25">
      <c r="A110" s="32" t="s">
        <v>930</v>
      </c>
      <c r="B110" s="31" t="s">
        <v>929</v>
      </c>
      <c r="C110" s="31" t="s">
        <v>588</v>
      </c>
      <c r="D110" s="31" t="s">
        <v>1543</v>
      </c>
      <c r="E110" s="31">
        <v>12</v>
      </c>
      <c r="F110" s="31">
        <v>12</v>
      </c>
      <c r="G110" s="9">
        <v>0</v>
      </c>
      <c r="H110" s="7" t="s">
        <v>1357</v>
      </c>
      <c r="I110" s="7" t="s">
        <v>1438</v>
      </c>
    </row>
    <row r="111" spans="1:9" ht="89.25" x14ac:dyDescent="0.25">
      <c r="A111" s="32" t="s">
        <v>930</v>
      </c>
      <c r="B111" s="31" t="s">
        <v>929</v>
      </c>
      <c r="C111" s="31" t="s">
        <v>588</v>
      </c>
      <c r="D111" s="31" t="s">
        <v>1543</v>
      </c>
      <c r="E111" s="31">
        <v>15</v>
      </c>
      <c r="F111" s="31">
        <v>15</v>
      </c>
      <c r="G111" s="9">
        <v>0</v>
      </c>
      <c r="H111" s="7" t="s">
        <v>1356</v>
      </c>
      <c r="I111" s="7" t="s">
        <v>1438</v>
      </c>
    </row>
    <row r="112" spans="1:9" ht="89.25" x14ac:dyDescent="0.25">
      <c r="A112" s="32" t="s">
        <v>930</v>
      </c>
      <c r="B112" s="31" t="s">
        <v>929</v>
      </c>
      <c r="C112" s="31" t="s">
        <v>588</v>
      </c>
      <c r="D112" s="31" t="s">
        <v>1543</v>
      </c>
      <c r="E112" s="31">
        <v>16</v>
      </c>
      <c r="F112" s="31">
        <v>16</v>
      </c>
      <c r="G112" s="9">
        <v>0</v>
      </c>
      <c r="H112" s="7" t="s">
        <v>1355</v>
      </c>
      <c r="I112" s="7" t="s">
        <v>1438</v>
      </c>
    </row>
    <row r="113" spans="1:9" ht="216.75" x14ac:dyDescent="0.25">
      <c r="A113" s="32" t="s">
        <v>930</v>
      </c>
      <c r="B113" s="31" t="s">
        <v>929</v>
      </c>
      <c r="C113" s="31" t="s">
        <v>588</v>
      </c>
      <c r="D113" s="31" t="s">
        <v>1543</v>
      </c>
      <c r="E113" s="31">
        <v>33</v>
      </c>
      <c r="F113" s="31">
        <v>34</v>
      </c>
      <c r="G113" s="9">
        <v>0</v>
      </c>
      <c r="H113" s="7" t="s">
        <v>1352</v>
      </c>
      <c r="I113" s="7" t="s">
        <v>1438</v>
      </c>
    </row>
    <row r="114" spans="1:9" ht="102" x14ac:dyDescent="0.25">
      <c r="A114" s="32" t="s">
        <v>930</v>
      </c>
      <c r="B114" s="31" t="s">
        <v>929</v>
      </c>
      <c r="C114" s="31" t="s">
        <v>433</v>
      </c>
      <c r="D114" s="31" t="s">
        <v>1543</v>
      </c>
      <c r="E114" s="31">
        <v>5</v>
      </c>
      <c r="F114" s="31">
        <v>5</v>
      </c>
      <c r="G114" s="9">
        <v>0</v>
      </c>
      <c r="H114" s="7" t="s">
        <v>1350</v>
      </c>
      <c r="I114" s="7" t="s">
        <v>1438</v>
      </c>
    </row>
    <row r="115" spans="1:9" ht="140.25" x14ac:dyDescent="0.25">
      <c r="A115" s="32" t="s">
        <v>930</v>
      </c>
      <c r="B115" s="31" t="s">
        <v>929</v>
      </c>
      <c r="C115" s="31" t="s">
        <v>433</v>
      </c>
      <c r="D115" s="31" t="s">
        <v>1543</v>
      </c>
      <c r="E115" s="31">
        <v>14</v>
      </c>
      <c r="F115" s="31">
        <v>15</v>
      </c>
      <c r="G115" s="9">
        <v>0</v>
      </c>
      <c r="H115" s="7" t="s">
        <v>1347</v>
      </c>
      <c r="I115" s="7" t="s">
        <v>1438</v>
      </c>
    </row>
    <row r="116" spans="1:9" ht="76.5" x14ac:dyDescent="0.25">
      <c r="A116" s="32" t="s">
        <v>930</v>
      </c>
      <c r="B116" s="31" t="s">
        <v>929</v>
      </c>
      <c r="C116" s="31" t="s">
        <v>433</v>
      </c>
      <c r="D116" s="31" t="s">
        <v>1543</v>
      </c>
      <c r="E116" s="31">
        <v>35</v>
      </c>
      <c r="F116" s="31">
        <v>35</v>
      </c>
      <c r="G116" s="9">
        <v>0</v>
      </c>
      <c r="H116" s="7" t="s">
        <v>1345</v>
      </c>
      <c r="I116" s="7" t="s">
        <v>1438</v>
      </c>
    </row>
    <row r="117" spans="1:9" ht="76.5" x14ac:dyDescent="0.25">
      <c r="A117" s="32" t="s">
        <v>930</v>
      </c>
      <c r="B117" s="31" t="s">
        <v>929</v>
      </c>
      <c r="C117" s="31" t="s">
        <v>703</v>
      </c>
      <c r="D117" s="31" t="s">
        <v>1543</v>
      </c>
      <c r="E117" s="31">
        <v>13</v>
      </c>
      <c r="F117" s="31">
        <v>13</v>
      </c>
      <c r="G117" s="9">
        <v>0</v>
      </c>
      <c r="H117" s="7" t="s">
        <v>1340</v>
      </c>
      <c r="I117" s="7" t="s">
        <v>1438</v>
      </c>
    </row>
    <row r="118" spans="1:9" ht="267.75" x14ac:dyDescent="0.25">
      <c r="A118" s="32" t="s">
        <v>930</v>
      </c>
      <c r="B118" s="31" t="s">
        <v>929</v>
      </c>
      <c r="C118" s="31" t="s">
        <v>703</v>
      </c>
      <c r="D118" s="31" t="s">
        <v>1543</v>
      </c>
      <c r="E118" s="31">
        <v>15</v>
      </c>
      <c r="F118" s="31">
        <v>15</v>
      </c>
      <c r="G118" s="9">
        <v>0</v>
      </c>
      <c r="H118" s="7" t="s">
        <v>1339</v>
      </c>
      <c r="I118" s="7" t="s">
        <v>1438</v>
      </c>
    </row>
    <row r="119" spans="1:9" ht="140.25" x14ac:dyDescent="0.25">
      <c r="A119" s="32" t="s">
        <v>930</v>
      </c>
      <c r="B119" s="31" t="s">
        <v>929</v>
      </c>
      <c r="C119" s="31" t="s">
        <v>411</v>
      </c>
      <c r="D119" s="31" t="s">
        <v>1543</v>
      </c>
      <c r="E119" s="31">
        <v>3</v>
      </c>
      <c r="F119" s="31">
        <v>3</v>
      </c>
      <c r="G119" s="9">
        <v>0</v>
      </c>
      <c r="H119" s="7" t="s">
        <v>1337</v>
      </c>
      <c r="I119" s="7" t="s">
        <v>1438</v>
      </c>
    </row>
    <row r="120" spans="1:9" ht="127.5" x14ac:dyDescent="0.25">
      <c r="A120" s="32" t="s">
        <v>930</v>
      </c>
      <c r="B120" s="31" t="s">
        <v>929</v>
      </c>
      <c r="C120" s="31" t="s">
        <v>411</v>
      </c>
      <c r="D120" s="31" t="s">
        <v>1543</v>
      </c>
      <c r="E120" s="31">
        <v>3</v>
      </c>
      <c r="F120" s="31">
        <v>3</v>
      </c>
      <c r="G120" s="9">
        <v>0</v>
      </c>
      <c r="H120" s="7" t="s">
        <v>1336</v>
      </c>
      <c r="I120" s="7" t="s">
        <v>1438</v>
      </c>
    </row>
    <row r="121" spans="1:9" ht="76.5" x14ac:dyDescent="0.25">
      <c r="A121" s="32" t="s">
        <v>930</v>
      </c>
      <c r="B121" s="31" t="s">
        <v>929</v>
      </c>
      <c r="C121" s="31" t="s">
        <v>411</v>
      </c>
      <c r="D121" s="31" t="s">
        <v>1543</v>
      </c>
      <c r="E121" s="31">
        <v>4</v>
      </c>
      <c r="F121" s="31">
        <v>4</v>
      </c>
      <c r="G121" s="9">
        <v>0</v>
      </c>
      <c r="H121" s="7" t="s">
        <v>1335</v>
      </c>
      <c r="I121" s="7" t="s">
        <v>1438</v>
      </c>
    </row>
    <row r="122" spans="1:9" ht="51" x14ac:dyDescent="0.25">
      <c r="A122" s="32" t="s">
        <v>930</v>
      </c>
      <c r="B122" s="31" t="s">
        <v>929</v>
      </c>
      <c r="C122" s="31" t="s">
        <v>411</v>
      </c>
      <c r="D122" s="31" t="s">
        <v>1543</v>
      </c>
      <c r="E122" s="31">
        <v>4</v>
      </c>
      <c r="F122" s="31">
        <v>4</v>
      </c>
      <c r="G122" s="9">
        <v>0</v>
      </c>
      <c r="H122" s="7" t="s">
        <v>1334</v>
      </c>
      <c r="I122" s="7" t="s">
        <v>1438</v>
      </c>
    </row>
    <row r="123" spans="1:9" ht="357" x14ac:dyDescent="0.25">
      <c r="A123" s="32" t="s">
        <v>930</v>
      </c>
      <c r="B123" s="31" t="s">
        <v>929</v>
      </c>
      <c r="C123" s="31" t="s">
        <v>685</v>
      </c>
      <c r="D123" s="31" t="s">
        <v>1543</v>
      </c>
      <c r="E123" s="31">
        <v>3</v>
      </c>
      <c r="F123" s="31">
        <v>6</v>
      </c>
      <c r="G123" s="9">
        <v>0</v>
      </c>
      <c r="H123" s="7" t="s">
        <v>1331</v>
      </c>
      <c r="I123" s="7" t="s">
        <v>1438</v>
      </c>
    </row>
    <row r="124" spans="1:9" ht="242.25" x14ac:dyDescent="0.25">
      <c r="A124" s="32" t="s">
        <v>930</v>
      </c>
      <c r="B124" s="31" t="s">
        <v>929</v>
      </c>
      <c r="C124" s="31" t="s">
        <v>685</v>
      </c>
      <c r="D124" s="31" t="s">
        <v>1543</v>
      </c>
      <c r="E124" s="31">
        <v>9</v>
      </c>
      <c r="F124" s="31">
        <v>10</v>
      </c>
      <c r="G124" s="9">
        <v>0</v>
      </c>
      <c r="H124" s="7" t="s">
        <v>1330</v>
      </c>
      <c r="I124" s="7" t="s">
        <v>1438</v>
      </c>
    </row>
    <row r="125" spans="1:9" ht="140.25" x14ac:dyDescent="0.25">
      <c r="A125" s="32" t="s">
        <v>930</v>
      </c>
      <c r="B125" s="31" t="s">
        <v>929</v>
      </c>
      <c r="C125" s="31" t="s">
        <v>685</v>
      </c>
      <c r="D125" s="31" t="s">
        <v>1543</v>
      </c>
      <c r="E125" s="31">
        <v>12</v>
      </c>
      <c r="F125" s="31">
        <v>12</v>
      </c>
      <c r="G125" s="9">
        <v>0</v>
      </c>
      <c r="H125" s="7" t="s">
        <v>1329</v>
      </c>
      <c r="I125" s="7" t="s">
        <v>1438</v>
      </c>
    </row>
    <row r="126" spans="1:9" ht="178.5" x14ac:dyDescent="0.25">
      <c r="A126" s="32" t="s">
        <v>930</v>
      </c>
      <c r="B126" s="31" t="s">
        <v>929</v>
      </c>
      <c r="C126" s="31" t="s">
        <v>685</v>
      </c>
      <c r="D126" s="31" t="s">
        <v>1543</v>
      </c>
      <c r="E126" s="31">
        <v>20</v>
      </c>
      <c r="F126" s="31">
        <v>21</v>
      </c>
      <c r="G126" s="9">
        <v>0</v>
      </c>
      <c r="H126" s="7" t="s">
        <v>1325</v>
      </c>
      <c r="I126" s="7" t="s">
        <v>1438</v>
      </c>
    </row>
    <row r="127" spans="1:9" ht="140.25" x14ac:dyDescent="0.25">
      <c r="A127" s="32" t="s">
        <v>930</v>
      </c>
      <c r="B127" s="31" t="s">
        <v>929</v>
      </c>
      <c r="C127" s="31" t="s">
        <v>85</v>
      </c>
      <c r="D127" s="31" t="s">
        <v>1543</v>
      </c>
      <c r="E127" s="31">
        <v>16</v>
      </c>
      <c r="F127" s="31">
        <v>16</v>
      </c>
      <c r="G127" s="9">
        <v>0</v>
      </c>
      <c r="H127" s="7" t="s">
        <v>1321</v>
      </c>
      <c r="I127" s="7" t="s">
        <v>1438</v>
      </c>
    </row>
    <row r="128" spans="1:9" ht="127.5" x14ac:dyDescent="0.25">
      <c r="A128" s="32" t="s">
        <v>930</v>
      </c>
      <c r="B128" s="31" t="s">
        <v>929</v>
      </c>
      <c r="C128" s="31" t="s">
        <v>85</v>
      </c>
      <c r="D128" s="31" t="s">
        <v>1543</v>
      </c>
      <c r="E128" s="31">
        <v>17</v>
      </c>
      <c r="F128" s="31">
        <v>17</v>
      </c>
      <c r="G128" s="9">
        <v>0</v>
      </c>
      <c r="H128" s="7" t="s">
        <v>1320</v>
      </c>
      <c r="I128" s="7" t="s">
        <v>1438</v>
      </c>
    </row>
    <row r="129" spans="1:9" ht="102" x14ac:dyDescent="0.25">
      <c r="A129" s="32" t="s">
        <v>930</v>
      </c>
      <c r="B129" s="31" t="s">
        <v>929</v>
      </c>
      <c r="C129" s="31" t="s">
        <v>85</v>
      </c>
      <c r="D129" s="31" t="s">
        <v>1543</v>
      </c>
      <c r="E129" s="31">
        <v>20</v>
      </c>
      <c r="F129" s="31">
        <v>20</v>
      </c>
      <c r="G129" s="9">
        <v>0</v>
      </c>
      <c r="H129" s="7" t="s">
        <v>1319</v>
      </c>
      <c r="I129" s="7" t="s">
        <v>1438</v>
      </c>
    </row>
    <row r="130" spans="1:9" ht="25.5" x14ac:dyDescent="0.25">
      <c r="A130" s="32" t="s">
        <v>930</v>
      </c>
      <c r="B130" s="31" t="s">
        <v>929</v>
      </c>
      <c r="C130" s="31" t="s">
        <v>85</v>
      </c>
      <c r="D130" s="31" t="s">
        <v>1543</v>
      </c>
      <c r="E130" s="31">
        <v>25</v>
      </c>
      <c r="F130" s="31">
        <v>25</v>
      </c>
      <c r="G130" s="9">
        <v>0</v>
      </c>
      <c r="H130" s="7" t="s">
        <v>1317</v>
      </c>
      <c r="I130" s="7" t="s">
        <v>1438</v>
      </c>
    </row>
    <row r="131" spans="1:9" ht="242.25" x14ac:dyDescent="0.25">
      <c r="A131" s="32" t="s">
        <v>930</v>
      </c>
      <c r="B131" s="31" t="s">
        <v>929</v>
      </c>
      <c r="C131" s="31" t="s">
        <v>85</v>
      </c>
      <c r="D131" s="31" t="s">
        <v>1543</v>
      </c>
      <c r="E131" s="31">
        <v>30</v>
      </c>
      <c r="F131" s="31">
        <v>31</v>
      </c>
      <c r="G131" s="9">
        <v>0</v>
      </c>
      <c r="H131" s="7" t="s">
        <v>1312</v>
      </c>
      <c r="I131" s="7" t="s">
        <v>1438</v>
      </c>
    </row>
    <row r="132" spans="1:9" ht="25.5" x14ac:dyDescent="0.25">
      <c r="A132" s="32" t="s">
        <v>930</v>
      </c>
      <c r="B132" s="31" t="s">
        <v>929</v>
      </c>
      <c r="C132" s="31" t="s">
        <v>85</v>
      </c>
      <c r="D132" s="31" t="s">
        <v>1543</v>
      </c>
      <c r="E132" s="31">
        <v>33</v>
      </c>
      <c r="F132" s="31">
        <v>33</v>
      </c>
      <c r="G132" s="9">
        <v>0</v>
      </c>
      <c r="H132" s="7" t="s">
        <v>1311</v>
      </c>
      <c r="I132" s="7" t="s">
        <v>1438</v>
      </c>
    </row>
    <row r="133" spans="1:9" ht="89.25" x14ac:dyDescent="0.25">
      <c r="A133" s="32" t="s">
        <v>930</v>
      </c>
      <c r="B133" s="31" t="s">
        <v>929</v>
      </c>
      <c r="C133" s="31" t="s">
        <v>474</v>
      </c>
      <c r="D133" s="31" t="s">
        <v>1543</v>
      </c>
      <c r="E133" s="31">
        <v>7</v>
      </c>
      <c r="F133" s="31">
        <v>7</v>
      </c>
      <c r="G133" s="9">
        <v>0</v>
      </c>
      <c r="H133" s="7" t="s">
        <v>1309</v>
      </c>
      <c r="I133" s="7" t="s">
        <v>1438</v>
      </c>
    </row>
    <row r="134" spans="1:9" ht="114.75" x14ac:dyDescent="0.25">
      <c r="A134" s="32" t="s">
        <v>930</v>
      </c>
      <c r="B134" s="31" t="s">
        <v>929</v>
      </c>
      <c r="C134" s="31" t="s">
        <v>474</v>
      </c>
      <c r="D134" s="31" t="s">
        <v>1543</v>
      </c>
      <c r="E134" s="31">
        <v>20</v>
      </c>
      <c r="F134" s="31">
        <v>20</v>
      </c>
      <c r="G134" s="9">
        <v>0</v>
      </c>
      <c r="H134" s="7" t="s">
        <v>1306</v>
      </c>
      <c r="I134" s="7" t="s">
        <v>1438</v>
      </c>
    </row>
    <row r="135" spans="1:9" ht="114.75" x14ac:dyDescent="0.25">
      <c r="A135" s="32" t="s">
        <v>930</v>
      </c>
      <c r="B135" s="31" t="s">
        <v>929</v>
      </c>
      <c r="C135" s="31" t="s">
        <v>474</v>
      </c>
      <c r="D135" s="31" t="s">
        <v>1543</v>
      </c>
      <c r="E135" s="31">
        <v>22</v>
      </c>
      <c r="F135" s="31">
        <v>22</v>
      </c>
      <c r="G135" s="9">
        <v>0</v>
      </c>
      <c r="H135" s="7" t="s">
        <v>1305</v>
      </c>
      <c r="I135" s="7" t="s">
        <v>1438</v>
      </c>
    </row>
    <row r="136" spans="1:9" ht="76.5" x14ac:dyDescent="0.25">
      <c r="A136" s="32" t="s">
        <v>930</v>
      </c>
      <c r="B136" s="31" t="s">
        <v>929</v>
      </c>
      <c r="C136" s="31" t="s">
        <v>474</v>
      </c>
      <c r="D136" s="31" t="s">
        <v>1543</v>
      </c>
      <c r="E136" s="31">
        <v>26</v>
      </c>
      <c r="F136" s="31">
        <v>26</v>
      </c>
      <c r="G136" s="9">
        <v>0</v>
      </c>
      <c r="H136" s="7" t="s">
        <v>1304</v>
      </c>
      <c r="I136" s="7" t="s">
        <v>1438</v>
      </c>
    </row>
    <row r="137" spans="1:9" ht="114.75" x14ac:dyDescent="0.25">
      <c r="A137" s="32" t="s">
        <v>930</v>
      </c>
      <c r="B137" s="31" t="s">
        <v>929</v>
      </c>
      <c r="C137" s="31" t="s">
        <v>474</v>
      </c>
      <c r="D137" s="31" t="s">
        <v>1543</v>
      </c>
      <c r="E137" s="31">
        <v>29</v>
      </c>
      <c r="F137" s="31">
        <v>29</v>
      </c>
      <c r="G137" s="9">
        <v>0</v>
      </c>
      <c r="H137" s="7" t="s">
        <v>1303</v>
      </c>
      <c r="I137" s="7" t="s">
        <v>1438</v>
      </c>
    </row>
    <row r="138" spans="1:9" ht="76.5" x14ac:dyDescent="0.25">
      <c r="A138" s="32" t="s">
        <v>930</v>
      </c>
      <c r="B138" s="31" t="s">
        <v>929</v>
      </c>
      <c r="C138" s="31" t="s">
        <v>474</v>
      </c>
      <c r="D138" s="31" t="s">
        <v>1543</v>
      </c>
      <c r="E138" s="31">
        <v>31</v>
      </c>
      <c r="F138" s="31">
        <v>31</v>
      </c>
      <c r="G138" s="9">
        <v>0</v>
      </c>
      <c r="H138" s="7" t="s">
        <v>1302</v>
      </c>
      <c r="I138" s="7" t="s">
        <v>1438</v>
      </c>
    </row>
    <row r="139" spans="1:9" ht="191.25" x14ac:dyDescent="0.25">
      <c r="A139" s="32" t="s">
        <v>930</v>
      </c>
      <c r="B139" s="31" t="s">
        <v>929</v>
      </c>
      <c r="C139" s="31" t="s">
        <v>566</v>
      </c>
      <c r="D139" s="31" t="s">
        <v>1543</v>
      </c>
      <c r="E139" s="31">
        <v>6</v>
      </c>
      <c r="F139" s="31">
        <v>6</v>
      </c>
      <c r="G139" s="9">
        <v>0</v>
      </c>
      <c r="H139" s="7" t="s">
        <v>1298</v>
      </c>
      <c r="I139" s="7" t="s">
        <v>1438</v>
      </c>
    </row>
    <row r="140" spans="1:9" ht="140.25" x14ac:dyDescent="0.25">
      <c r="A140" s="32" t="s">
        <v>930</v>
      </c>
      <c r="B140" s="31" t="s">
        <v>929</v>
      </c>
      <c r="C140" s="31" t="s">
        <v>566</v>
      </c>
      <c r="D140" s="31" t="s">
        <v>1543</v>
      </c>
      <c r="E140" s="31">
        <v>13</v>
      </c>
      <c r="F140" s="31">
        <v>13</v>
      </c>
      <c r="G140" s="9">
        <v>0</v>
      </c>
      <c r="H140" s="7" t="s">
        <v>1297</v>
      </c>
      <c r="I140" s="7" t="s">
        <v>1438</v>
      </c>
    </row>
    <row r="141" spans="1:9" ht="89.25" x14ac:dyDescent="0.25">
      <c r="A141" s="32" t="s">
        <v>930</v>
      </c>
      <c r="B141" s="31" t="s">
        <v>929</v>
      </c>
      <c r="C141" s="31" t="s">
        <v>566</v>
      </c>
      <c r="D141" s="31" t="s">
        <v>1543</v>
      </c>
      <c r="E141" s="31">
        <v>16</v>
      </c>
      <c r="F141" s="31">
        <v>16</v>
      </c>
      <c r="G141" s="9">
        <v>0</v>
      </c>
      <c r="H141" s="7" t="s">
        <v>1296</v>
      </c>
      <c r="I141" s="7" t="s">
        <v>1438</v>
      </c>
    </row>
    <row r="142" spans="1:9" ht="102" x14ac:dyDescent="0.25">
      <c r="A142" s="32" t="s">
        <v>930</v>
      </c>
      <c r="B142" s="31" t="s">
        <v>929</v>
      </c>
      <c r="C142" s="31" t="s">
        <v>566</v>
      </c>
      <c r="D142" s="31" t="s">
        <v>1543</v>
      </c>
      <c r="E142" s="31">
        <v>21</v>
      </c>
      <c r="F142" s="31">
        <v>21</v>
      </c>
      <c r="G142" s="9">
        <v>0</v>
      </c>
      <c r="H142" s="7" t="s">
        <v>1295</v>
      </c>
      <c r="I142" s="7" t="s">
        <v>1438</v>
      </c>
    </row>
    <row r="143" spans="1:9" ht="127.5" x14ac:dyDescent="0.25">
      <c r="A143" s="32" t="s">
        <v>930</v>
      </c>
      <c r="B143" s="31" t="s">
        <v>929</v>
      </c>
      <c r="C143" s="31" t="s">
        <v>566</v>
      </c>
      <c r="D143" s="31" t="s">
        <v>1543</v>
      </c>
      <c r="E143" s="31">
        <v>27</v>
      </c>
      <c r="F143" s="31">
        <v>27</v>
      </c>
      <c r="G143" s="9">
        <v>0</v>
      </c>
      <c r="H143" s="7" t="s">
        <v>1294</v>
      </c>
      <c r="I143" s="7" t="s">
        <v>1438</v>
      </c>
    </row>
    <row r="144" spans="1:9" ht="89.25" x14ac:dyDescent="0.25">
      <c r="A144" s="32" t="s">
        <v>930</v>
      </c>
      <c r="B144" s="31" t="s">
        <v>929</v>
      </c>
      <c r="C144" s="31" t="s">
        <v>566</v>
      </c>
      <c r="D144" s="31" t="s">
        <v>1543</v>
      </c>
      <c r="E144" s="31">
        <v>34</v>
      </c>
      <c r="F144" s="31">
        <v>34</v>
      </c>
      <c r="G144" s="9">
        <v>0</v>
      </c>
      <c r="H144" s="7" t="s">
        <v>1292</v>
      </c>
      <c r="I144" s="7" t="s">
        <v>1438</v>
      </c>
    </row>
    <row r="145" spans="1:9" ht="38.25" x14ac:dyDescent="0.25">
      <c r="A145" s="32" t="s">
        <v>930</v>
      </c>
      <c r="B145" s="31" t="s">
        <v>929</v>
      </c>
      <c r="C145" s="31" t="s">
        <v>766</v>
      </c>
      <c r="D145" s="31" t="s">
        <v>1543</v>
      </c>
      <c r="E145" s="31">
        <v>21</v>
      </c>
      <c r="F145" s="31">
        <v>21</v>
      </c>
      <c r="G145" s="9">
        <v>0</v>
      </c>
      <c r="H145" s="7" t="s">
        <v>1291</v>
      </c>
      <c r="I145" s="7" t="s">
        <v>1438</v>
      </c>
    </row>
    <row r="146" spans="1:9" ht="114.75" x14ac:dyDescent="0.25">
      <c r="A146" s="32" t="s">
        <v>930</v>
      </c>
      <c r="B146" s="31" t="s">
        <v>929</v>
      </c>
      <c r="C146" s="31" t="s">
        <v>766</v>
      </c>
      <c r="D146" s="31" t="s">
        <v>1543</v>
      </c>
      <c r="E146" s="31">
        <v>22</v>
      </c>
      <c r="F146" s="31">
        <v>22</v>
      </c>
      <c r="G146" s="9">
        <v>0</v>
      </c>
      <c r="H146" s="7" t="s">
        <v>1290</v>
      </c>
      <c r="I146" s="7" t="s">
        <v>1438</v>
      </c>
    </row>
    <row r="147" spans="1:9" ht="127.5" x14ac:dyDescent="0.25">
      <c r="A147" s="32" t="s">
        <v>930</v>
      </c>
      <c r="B147" s="31" t="s">
        <v>929</v>
      </c>
      <c r="C147" s="31" t="s">
        <v>766</v>
      </c>
      <c r="D147" s="31" t="s">
        <v>1543</v>
      </c>
      <c r="E147" s="31">
        <v>23</v>
      </c>
      <c r="F147" s="31">
        <v>23</v>
      </c>
      <c r="G147" s="9">
        <v>0</v>
      </c>
      <c r="H147" s="7" t="s">
        <v>1289</v>
      </c>
      <c r="I147" s="7" t="s">
        <v>1438</v>
      </c>
    </row>
    <row r="148" spans="1:9" ht="38.25" x14ac:dyDescent="0.25">
      <c r="A148" s="32" t="s">
        <v>930</v>
      </c>
      <c r="B148" s="31" t="s">
        <v>929</v>
      </c>
      <c r="C148" s="31" t="s">
        <v>766</v>
      </c>
      <c r="D148" s="31" t="s">
        <v>1543</v>
      </c>
      <c r="E148" s="31">
        <v>29</v>
      </c>
      <c r="F148" s="31">
        <v>29</v>
      </c>
      <c r="G148" s="9">
        <v>0</v>
      </c>
      <c r="H148" s="7" t="s">
        <v>1288</v>
      </c>
      <c r="I148" s="7" t="s">
        <v>1438</v>
      </c>
    </row>
    <row r="149" spans="1:9" ht="140.25" x14ac:dyDescent="0.25">
      <c r="A149" s="32" t="s">
        <v>930</v>
      </c>
      <c r="B149" s="31" t="s">
        <v>929</v>
      </c>
      <c r="C149" s="31" t="s">
        <v>766</v>
      </c>
      <c r="D149" s="31" t="s">
        <v>1543</v>
      </c>
      <c r="E149" s="31">
        <v>33</v>
      </c>
      <c r="F149" s="31">
        <v>33</v>
      </c>
      <c r="G149" s="9">
        <v>0</v>
      </c>
      <c r="H149" s="7" t="s">
        <v>1287</v>
      </c>
      <c r="I149" s="7" t="s">
        <v>1438</v>
      </c>
    </row>
    <row r="150" spans="1:9" ht="25.5" x14ac:dyDescent="0.25">
      <c r="A150" s="32" t="s">
        <v>930</v>
      </c>
      <c r="B150" s="31" t="s">
        <v>929</v>
      </c>
      <c r="C150" s="31" t="s">
        <v>281</v>
      </c>
      <c r="D150" s="31" t="s">
        <v>1543</v>
      </c>
      <c r="E150" s="31">
        <v>4</v>
      </c>
      <c r="F150" s="31">
        <v>4</v>
      </c>
      <c r="G150" s="9">
        <v>0</v>
      </c>
      <c r="H150" s="7" t="s">
        <v>1286</v>
      </c>
      <c r="I150" s="7" t="s">
        <v>1438</v>
      </c>
    </row>
    <row r="151" spans="1:9" ht="51" x14ac:dyDescent="0.25">
      <c r="A151" s="32" t="s">
        <v>930</v>
      </c>
      <c r="B151" s="31" t="s">
        <v>929</v>
      </c>
      <c r="C151" s="31" t="s">
        <v>281</v>
      </c>
      <c r="D151" s="31" t="s">
        <v>1543</v>
      </c>
      <c r="E151" s="31">
        <v>5</v>
      </c>
      <c r="F151" s="31">
        <v>5</v>
      </c>
      <c r="G151" s="9">
        <v>0</v>
      </c>
      <c r="H151" s="7" t="s">
        <v>1285</v>
      </c>
      <c r="I151" s="7" t="s">
        <v>1438</v>
      </c>
    </row>
    <row r="152" spans="1:9" ht="25.5" x14ac:dyDescent="0.25">
      <c r="A152" s="32" t="s">
        <v>930</v>
      </c>
      <c r="B152" s="31" t="s">
        <v>929</v>
      </c>
      <c r="C152" s="31" t="s">
        <v>281</v>
      </c>
      <c r="D152" s="31" t="s">
        <v>1543</v>
      </c>
      <c r="E152" s="31">
        <v>9</v>
      </c>
      <c r="F152" s="31">
        <v>9</v>
      </c>
      <c r="G152" s="9">
        <v>0</v>
      </c>
      <c r="H152" s="7" t="s">
        <v>1282</v>
      </c>
      <c r="I152" s="7" t="s">
        <v>1438</v>
      </c>
    </row>
    <row r="153" spans="1:9" ht="153" x14ac:dyDescent="0.25">
      <c r="A153" s="32" t="s">
        <v>930</v>
      </c>
      <c r="B153" s="31" t="s">
        <v>929</v>
      </c>
      <c r="C153" s="31" t="s">
        <v>113</v>
      </c>
      <c r="D153" s="31" t="s">
        <v>1543</v>
      </c>
      <c r="E153" s="31">
        <v>9</v>
      </c>
      <c r="F153" s="31">
        <v>9</v>
      </c>
      <c r="G153" s="9">
        <v>0</v>
      </c>
      <c r="H153" s="7" t="s">
        <v>1274</v>
      </c>
      <c r="I153" s="7" t="s">
        <v>1438</v>
      </c>
    </row>
    <row r="154" spans="1:9" ht="344.25" x14ac:dyDescent="0.25">
      <c r="A154" s="32" t="s">
        <v>930</v>
      </c>
      <c r="B154" s="31" t="s">
        <v>929</v>
      </c>
      <c r="C154" s="31" t="s">
        <v>113</v>
      </c>
      <c r="D154" s="31" t="s">
        <v>1543</v>
      </c>
      <c r="E154" s="31">
        <v>18</v>
      </c>
      <c r="F154" s="31">
        <v>19</v>
      </c>
      <c r="G154" s="9">
        <v>0</v>
      </c>
      <c r="H154" s="7" t="s">
        <v>1272</v>
      </c>
      <c r="I154" s="7" t="s">
        <v>1438</v>
      </c>
    </row>
    <row r="155" spans="1:9" ht="357" x14ac:dyDescent="0.25">
      <c r="A155" s="32" t="s">
        <v>930</v>
      </c>
      <c r="B155" s="31" t="s">
        <v>929</v>
      </c>
      <c r="C155" s="31" t="s">
        <v>113</v>
      </c>
      <c r="D155" s="31" t="s">
        <v>1543</v>
      </c>
      <c r="E155" s="31">
        <v>20</v>
      </c>
      <c r="F155" s="31">
        <v>21</v>
      </c>
      <c r="G155" s="9">
        <v>0</v>
      </c>
      <c r="H155" s="7" t="s">
        <v>1271</v>
      </c>
      <c r="I155" s="7" t="s">
        <v>1438</v>
      </c>
    </row>
    <row r="156" spans="1:9" ht="267.75" x14ac:dyDescent="0.25">
      <c r="A156" s="32" t="s">
        <v>930</v>
      </c>
      <c r="B156" s="31" t="s">
        <v>929</v>
      </c>
      <c r="C156" s="31" t="s">
        <v>113</v>
      </c>
      <c r="D156" s="31" t="s">
        <v>1543</v>
      </c>
      <c r="E156" s="31">
        <v>28</v>
      </c>
      <c r="F156" s="31">
        <v>29</v>
      </c>
      <c r="G156" s="9">
        <v>0</v>
      </c>
      <c r="H156" s="7" t="s">
        <v>1269</v>
      </c>
      <c r="I156" s="7" t="s">
        <v>1438</v>
      </c>
    </row>
    <row r="157" spans="1:9" ht="127.5" x14ac:dyDescent="0.25">
      <c r="A157" s="32" t="s">
        <v>930</v>
      </c>
      <c r="B157" s="31" t="s">
        <v>929</v>
      </c>
      <c r="C157" s="31" t="s">
        <v>386</v>
      </c>
      <c r="D157" s="31" t="s">
        <v>1543</v>
      </c>
      <c r="E157" s="31">
        <v>11</v>
      </c>
      <c r="F157" s="31">
        <v>12</v>
      </c>
      <c r="G157" s="9">
        <v>0</v>
      </c>
      <c r="H157" s="7" t="s">
        <v>1267</v>
      </c>
      <c r="I157" s="7" t="s">
        <v>1438</v>
      </c>
    </row>
    <row r="158" spans="1:9" ht="280.5" x14ac:dyDescent="0.25">
      <c r="A158" s="32" t="s">
        <v>930</v>
      </c>
      <c r="B158" s="31" t="s">
        <v>929</v>
      </c>
      <c r="C158" s="31" t="s">
        <v>386</v>
      </c>
      <c r="D158" s="31" t="s">
        <v>1543</v>
      </c>
      <c r="E158" s="31">
        <v>14</v>
      </c>
      <c r="F158" s="31">
        <v>15</v>
      </c>
      <c r="G158" s="9">
        <v>0</v>
      </c>
      <c r="H158" s="7" t="s">
        <v>1265</v>
      </c>
      <c r="I158" s="7" t="s">
        <v>1438</v>
      </c>
    </row>
    <row r="159" spans="1:9" ht="165.75" x14ac:dyDescent="0.25">
      <c r="A159" s="32" t="s">
        <v>930</v>
      </c>
      <c r="B159" s="31" t="s">
        <v>929</v>
      </c>
      <c r="C159" s="31" t="s">
        <v>386</v>
      </c>
      <c r="D159" s="31" t="s">
        <v>1543</v>
      </c>
      <c r="E159" s="31">
        <v>17</v>
      </c>
      <c r="F159" s="31">
        <v>17</v>
      </c>
      <c r="G159" s="9">
        <v>0</v>
      </c>
      <c r="H159" s="7" t="s">
        <v>1264</v>
      </c>
      <c r="I159" s="7" t="s">
        <v>1438</v>
      </c>
    </row>
    <row r="160" spans="1:9" ht="114.75" x14ac:dyDescent="0.25">
      <c r="A160" s="32" t="s">
        <v>930</v>
      </c>
      <c r="B160" s="31" t="s">
        <v>929</v>
      </c>
      <c r="C160" s="31" t="s">
        <v>386</v>
      </c>
      <c r="D160" s="31" t="s">
        <v>1543</v>
      </c>
      <c r="E160" s="31">
        <v>18</v>
      </c>
      <c r="F160" s="31">
        <v>18</v>
      </c>
      <c r="G160" s="9">
        <v>0</v>
      </c>
      <c r="H160" s="7" t="s">
        <v>1263</v>
      </c>
      <c r="I160" s="7" t="s">
        <v>1438</v>
      </c>
    </row>
    <row r="161" spans="1:9" ht="293.25" x14ac:dyDescent="0.25">
      <c r="A161" s="32" t="s">
        <v>930</v>
      </c>
      <c r="B161" s="31" t="s">
        <v>929</v>
      </c>
      <c r="C161" s="31" t="s">
        <v>386</v>
      </c>
      <c r="D161" s="31" t="s">
        <v>1543</v>
      </c>
      <c r="E161" s="31">
        <v>26</v>
      </c>
      <c r="F161" s="31">
        <v>27</v>
      </c>
      <c r="G161" s="9">
        <v>0</v>
      </c>
      <c r="H161" s="7" t="s">
        <v>1261</v>
      </c>
      <c r="I161" s="7" t="s">
        <v>1438</v>
      </c>
    </row>
    <row r="162" spans="1:9" ht="267.75" x14ac:dyDescent="0.25">
      <c r="A162" s="32" t="s">
        <v>930</v>
      </c>
      <c r="B162" s="31" t="s">
        <v>929</v>
      </c>
      <c r="C162" s="31" t="s">
        <v>316</v>
      </c>
      <c r="D162" s="31" t="s">
        <v>1543</v>
      </c>
      <c r="E162" s="31">
        <v>12</v>
      </c>
      <c r="F162" s="31">
        <v>13</v>
      </c>
      <c r="G162" s="9">
        <v>0</v>
      </c>
      <c r="H162" s="7" t="s">
        <v>1251</v>
      </c>
      <c r="I162" s="7" t="s">
        <v>1438</v>
      </c>
    </row>
    <row r="163" spans="1:9" ht="140.25" x14ac:dyDescent="0.25">
      <c r="A163" s="32" t="s">
        <v>930</v>
      </c>
      <c r="B163" s="31" t="s">
        <v>929</v>
      </c>
      <c r="C163" s="31" t="s">
        <v>316</v>
      </c>
      <c r="D163" s="31" t="s">
        <v>1543</v>
      </c>
      <c r="E163" s="31">
        <v>17</v>
      </c>
      <c r="F163" s="31">
        <v>17</v>
      </c>
      <c r="G163" s="9">
        <v>0</v>
      </c>
      <c r="H163" s="7" t="s">
        <v>1249</v>
      </c>
      <c r="I163" s="7" t="s">
        <v>1438</v>
      </c>
    </row>
    <row r="164" spans="1:9" ht="63.75" x14ac:dyDescent="0.25">
      <c r="A164" s="32" t="s">
        <v>930</v>
      </c>
      <c r="B164" s="31" t="s">
        <v>929</v>
      </c>
      <c r="C164" s="31" t="s">
        <v>67</v>
      </c>
      <c r="D164" s="31" t="s">
        <v>1543</v>
      </c>
      <c r="E164" s="31">
        <v>11</v>
      </c>
      <c r="F164" s="31">
        <v>11</v>
      </c>
      <c r="G164" s="9">
        <v>0</v>
      </c>
      <c r="H164" s="7" t="s">
        <v>1245</v>
      </c>
      <c r="I164" s="7" t="s">
        <v>1438</v>
      </c>
    </row>
    <row r="165" spans="1:9" ht="63.75" x14ac:dyDescent="0.25">
      <c r="A165" s="32" t="s">
        <v>930</v>
      </c>
      <c r="B165" s="31" t="s">
        <v>929</v>
      </c>
      <c r="C165" s="31" t="s">
        <v>67</v>
      </c>
      <c r="D165" s="31" t="s">
        <v>1543</v>
      </c>
      <c r="E165" s="31">
        <v>14</v>
      </c>
      <c r="F165" s="31">
        <v>14</v>
      </c>
      <c r="G165" s="9">
        <v>0</v>
      </c>
      <c r="H165" s="7" t="s">
        <v>1244</v>
      </c>
      <c r="I165" s="7" t="s">
        <v>1438</v>
      </c>
    </row>
    <row r="166" spans="1:9" ht="76.5" x14ac:dyDescent="0.25">
      <c r="A166" s="32" t="s">
        <v>930</v>
      </c>
      <c r="B166" s="31" t="s">
        <v>929</v>
      </c>
      <c r="C166" s="31" t="s">
        <v>67</v>
      </c>
      <c r="D166" s="31" t="s">
        <v>1543</v>
      </c>
      <c r="E166" s="31">
        <v>15</v>
      </c>
      <c r="F166" s="31">
        <v>15</v>
      </c>
      <c r="G166" s="9">
        <v>0</v>
      </c>
      <c r="H166" s="7" t="s">
        <v>1243</v>
      </c>
      <c r="I166" s="7" t="s">
        <v>1438</v>
      </c>
    </row>
    <row r="167" spans="1:9" ht="51" x14ac:dyDescent="0.25">
      <c r="A167" s="32" t="s">
        <v>930</v>
      </c>
      <c r="B167" s="31" t="s">
        <v>929</v>
      </c>
      <c r="C167" s="31" t="s">
        <v>67</v>
      </c>
      <c r="D167" s="31" t="s">
        <v>1543</v>
      </c>
      <c r="E167" s="31">
        <v>18</v>
      </c>
      <c r="F167" s="31">
        <v>18</v>
      </c>
      <c r="G167" s="9">
        <v>0</v>
      </c>
      <c r="H167" s="7" t="s">
        <v>1242</v>
      </c>
      <c r="I167" s="7" t="s">
        <v>1438</v>
      </c>
    </row>
    <row r="168" spans="1:9" ht="25.5" x14ac:dyDescent="0.25">
      <c r="A168" s="32" t="s">
        <v>930</v>
      </c>
      <c r="B168" s="31" t="s">
        <v>929</v>
      </c>
      <c r="C168" s="31" t="s">
        <v>67</v>
      </c>
      <c r="D168" s="31" t="s">
        <v>1543</v>
      </c>
      <c r="E168" s="31">
        <v>20</v>
      </c>
      <c r="F168" s="31">
        <v>20</v>
      </c>
      <c r="G168" s="9">
        <v>0</v>
      </c>
      <c r="H168" s="7" t="s">
        <v>1240</v>
      </c>
      <c r="I168" s="7" t="s">
        <v>1438</v>
      </c>
    </row>
    <row r="169" spans="1:9" ht="38.25" x14ac:dyDescent="0.25">
      <c r="A169" s="32" t="s">
        <v>930</v>
      </c>
      <c r="B169" s="31" t="s">
        <v>929</v>
      </c>
      <c r="C169" s="31" t="s">
        <v>67</v>
      </c>
      <c r="D169" s="31" t="s">
        <v>1543</v>
      </c>
      <c r="E169" s="31">
        <v>21</v>
      </c>
      <c r="F169" s="31">
        <v>21</v>
      </c>
      <c r="G169" s="9">
        <v>0</v>
      </c>
      <c r="H169" s="7" t="s">
        <v>1239</v>
      </c>
      <c r="I169" s="7" t="s">
        <v>1438</v>
      </c>
    </row>
    <row r="170" spans="1:9" ht="38.25" x14ac:dyDescent="0.25">
      <c r="A170" s="32" t="s">
        <v>930</v>
      </c>
      <c r="B170" s="31" t="s">
        <v>929</v>
      </c>
      <c r="C170" s="31" t="s">
        <v>67</v>
      </c>
      <c r="D170" s="31" t="s">
        <v>1543</v>
      </c>
      <c r="E170" s="31">
        <v>22</v>
      </c>
      <c r="F170" s="31">
        <v>22</v>
      </c>
      <c r="G170" s="9">
        <v>0</v>
      </c>
      <c r="H170" s="7" t="s">
        <v>1238</v>
      </c>
      <c r="I170" s="7" t="s">
        <v>1438</v>
      </c>
    </row>
    <row r="171" spans="1:9" ht="38.25" x14ac:dyDescent="0.25">
      <c r="A171" s="32" t="s">
        <v>930</v>
      </c>
      <c r="B171" s="31" t="s">
        <v>929</v>
      </c>
      <c r="C171" s="31" t="s">
        <v>67</v>
      </c>
      <c r="D171" s="31" t="s">
        <v>1543</v>
      </c>
      <c r="E171" s="31">
        <v>23</v>
      </c>
      <c r="F171" s="31">
        <v>23</v>
      </c>
      <c r="G171" s="9">
        <v>0</v>
      </c>
      <c r="H171" s="7" t="s">
        <v>1237</v>
      </c>
      <c r="I171" s="7" t="s">
        <v>1438</v>
      </c>
    </row>
    <row r="172" spans="1:9" ht="38.25" x14ac:dyDescent="0.25">
      <c r="A172" s="32" t="s">
        <v>930</v>
      </c>
      <c r="B172" s="31" t="s">
        <v>929</v>
      </c>
      <c r="C172" s="31" t="s">
        <v>67</v>
      </c>
      <c r="D172" s="31" t="s">
        <v>1543</v>
      </c>
      <c r="E172" s="31">
        <v>24</v>
      </c>
      <c r="F172" s="31">
        <v>24</v>
      </c>
      <c r="G172" s="9">
        <v>0</v>
      </c>
      <c r="H172" s="7" t="s">
        <v>1236</v>
      </c>
      <c r="I172" s="7" t="s">
        <v>1438</v>
      </c>
    </row>
    <row r="173" spans="1:9" ht="63.75" x14ac:dyDescent="0.25">
      <c r="A173" s="32" t="s">
        <v>930</v>
      </c>
      <c r="B173" s="31" t="s">
        <v>929</v>
      </c>
      <c r="C173" s="31" t="s">
        <v>67</v>
      </c>
      <c r="D173" s="31" t="s">
        <v>1543</v>
      </c>
      <c r="E173" s="31">
        <v>28</v>
      </c>
      <c r="F173" s="31">
        <v>28</v>
      </c>
      <c r="G173" s="9">
        <v>0</v>
      </c>
      <c r="H173" s="7" t="s">
        <v>1235</v>
      </c>
      <c r="I173" s="7" t="s">
        <v>1438</v>
      </c>
    </row>
    <row r="174" spans="1:9" ht="63.75" x14ac:dyDescent="0.25">
      <c r="A174" s="32" t="s">
        <v>930</v>
      </c>
      <c r="B174" s="31" t="s">
        <v>929</v>
      </c>
      <c r="C174" s="31" t="s">
        <v>67</v>
      </c>
      <c r="D174" s="31" t="s">
        <v>1543</v>
      </c>
      <c r="E174" s="31">
        <v>30</v>
      </c>
      <c r="F174" s="31">
        <v>30</v>
      </c>
      <c r="G174" s="9">
        <v>0</v>
      </c>
      <c r="H174" s="7" t="s">
        <v>1234</v>
      </c>
      <c r="I174" s="7" t="s">
        <v>1438</v>
      </c>
    </row>
    <row r="175" spans="1:9" ht="89.25" x14ac:dyDescent="0.25">
      <c r="A175" s="32" t="s">
        <v>930</v>
      </c>
      <c r="B175" s="31" t="s">
        <v>929</v>
      </c>
      <c r="C175" s="31" t="s">
        <v>67</v>
      </c>
      <c r="D175" s="31" t="s">
        <v>1543</v>
      </c>
      <c r="E175" s="31">
        <v>36</v>
      </c>
      <c r="F175" s="31">
        <v>37</v>
      </c>
      <c r="G175" s="9">
        <v>0</v>
      </c>
      <c r="H175" s="7" t="s">
        <v>1231</v>
      </c>
      <c r="I175" s="7" t="s">
        <v>1438</v>
      </c>
    </row>
    <row r="176" spans="1:9" ht="114.75" x14ac:dyDescent="0.25">
      <c r="A176" s="32" t="s">
        <v>930</v>
      </c>
      <c r="B176" s="31" t="s">
        <v>929</v>
      </c>
      <c r="C176" s="31" t="s">
        <v>67</v>
      </c>
      <c r="D176" s="31" t="s">
        <v>1543</v>
      </c>
      <c r="E176" s="31">
        <v>38</v>
      </c>
      <c r="F176" s="31">
        <v>38</v>
      </c>
      <c r="G176" s="9">
        <v>0</v>
      </c>
      <c r="H176" s="7" t="s">
        <v>1230</v>
      </c>
      <c r="I176" s="7" t="s">
        <v>1438</v>
      </c>
    </row>
    <row r="177" spans="1:9" ht="140.25" x14ac:dyDescent="0.25">
      <c r="A177" s="32" t="s">
        <v>930</v>
      </c>
      <c r="B177" s="31" t="s">
        <v>929</v>
      </c>
      <c r="C177" s="31" t="s">
        <v>67</v>
      </c>
      <c r="D177" s="31" t="s">
        <v>1543</v>
      </c>
      <c r="E177" s="31">
        <v>39</v>
      </c>
      <c r="F177" s="31">
        <v>39</v>
      </c>
      <c r="G177" s="9">
        <v>0</v>
      </c>
      <c r="H177" s="7" t="s">
        <v>1229</v>
      </c>
      <c r="I177" s="7" t="s">
        <v>1438</v>
      </c>
    </row>
    <row r="178" spans="1:9" ht="127.5" x14ac:dyDescent="0.25">
      <c r="A178" s="32" t="s">
        <v>930</v>
      </c>
      <c r="B178" s="31" t="s">
        <v>929</v>
      </c>
      <c r="C178" s="31" t="s">
        <v>67</v>
      </c>
      <c r="D178" s="31" t="s">
        <v>1543</v>
      </c>
      <c r="E178" s="31">
        <v>40</v>
      </c>
      <c r="F178" s="31">
        <v>40</v>
      </c>
      <c r="G178" s="9">
        <v>0</v>
      </c>
      <c r="H178" s="7" t="s">
        <v>1228</v>
      </c>
      <c r="I178" s="7" t="s">
        <v>1438</v>
      </c>
    </row>
    <row r="179" spans="1:9" ht="140.25" x14ac:dyDescent="0.25">
      <c r="A179" s="32" t="s">
        <v>930</v>
      </c>
      <c r="B179" s="31" t="s">
        <v>929</v>
      </c>
      <c r="C179" s="31" t="s">
        <v>67</v>
      </c>
      <c r="D179" s="31" t="s">
        <v>1543</v>
      </c>
      <c r="E179" s="31">
        <v>42</v>
      </c>
      <c r="F179" s="31">
        <v>42</v>
      </c>
      <c r="G179" s="9">
        <v>0</v>
      </c>
      <c r="H179" s="7" t="s">
        <v>1227</v>
      </c>
      <c r="I179" s="7" t="s">
        <v>1438</v>
      </c>
    </row>
    <row r="180" spans="1:9" ht="153" x14ac:dyDescent="0.25">
      <c r="A180" s="32" t="s">
        <v>930</v>
      </c>
      <c r="B180" s="31" t="s">
        <v>929</v>
      </c>
      <c r="C180" s="31" t="s">
        <v>399</v>
      </c>
      <c r="D180" s="31" t="s">
        <v>1543</v>
      </c>
      <c r="E180" s="31">
        <v>15</v>
      </c>
      <c r="F180" s="31">
        <v>15</v>
      </c>
      <c r="G180" s="9">
        <v>0</v>
      </c>
      <c r="H180" s="7" t="s">
        <v>1221</v>
      </c>
      <c r="I180" s="7" t="s">
        <v>1438</v>
      </c>
    </row>
    <row r="181" spans="1:9" ht="127.5" x14ac:dyDescent="0.25">
      <c r="A181" s="32" t="s">
        <v>930</v>
      </c>
      <c r="B181" s="31" t="s">
        <v>929</v>
      </c>
      <c r="C181" s="31" t="s">
        <v>399</v>
      </c>
      <c r="D181" s="31" t="s">
        <v>1543</v>
      </c>
      <c r="E181" s="31">
        <v>17</v>
      </c>
      <c r="F181" s="31">
        <v>17</v>
      </c>
      <c r="G181" s="9">
        <v>0</v>
      </c>
      <c r="H181" s="7" t="s">
        <v>1220</v>
      </c>
      <c r="I181" s="7" t="s">
        <v>1438</v>
      </c>
    </row>
    <row r="182" spans="1:9" ht="127.5" x14ac:dyDescent="0.25">
      <c r="A182" s="32" t="s">
        <v>930</v>
      </c>
      <c r="B182" s="31" t="s">
        <v>929</v>
      </c>
      <c r="C182" s="31" t="s">
        <v>399</v>
      </c>
      <c r="D182" s="31" t="s">
        <v>1543</v>
      </c>
      <c r="E182" s="31">
        <v>18</v>
      </c>
      <c r="F182" s="31">
        <v>18</v>
      </c>
      <c r="G182" s="9">
        <v>0</v>
      </c>
      <c r="H182" s="7" t="s">
        <v>1219</v>
      </c>
      <c r="I182" s="7" t="s">
        <v>1438</v>
      </c>
    </row>
    <row r="183" spans="1:9" ht="140.25" x14ac:dyDescent="0.25">
      <c r="A183" s="32" t="s">
        <v>930</v>
      </c>
      <c r="B183" s="31" t="s">
        <v>929</v>
      </c>
      <c r="C183" s="31" t="s">
        <v>399</v>
      </c>
      <c r="D183" s="31" t="s">
        <v>1543</v>
      </c>
      <c r="E183" s="31">
        <v>19</v>
      </c>
      <c r="F183" s="31">
        <v>19</v>
      </c>
      <c r="G183" s="9">
        <v>0</v>
      </c>
      <c r="H183" s="7" t="s">
        <v>1218</v>
      </c>
      <c r="I183" s="7" t="s">
        <v>1438</v>
      </c>
    </row>
    <row r="184" spans="1:9" ht="127.5" x14ac:dyDescent="0.25">
      <c r="A184" s="32" t="s">
        <v>930</v>
      </c>
      <c r="B184" s="31" t="s">
        <v>929</v>
      </c>
      <c r="C184" s="31" t="s">
        <v>399</v>
      </c>
      <c r="D184" s="31" t="s">
        <v>1543</v>
      </c>
      <c r="E184" s="31">
        <v>21</v>
      </c>
      <c r="F184" s="31">
        <v>21</v>
      </c>
      <c r="G184" s="9">
        <v>0</v>
      </c>
      <c r="H184" s="7" t="s">
        <v>1217</v>
      </c>
      <c r="I184" s="7" t="s">
        <v>1438</v>
      </c>
    </row>
    <row r="185" spans="1:9" ht="216.75" x14ac:dyDescent="0.25">
      <c r="A185" s="32" t="s">
        <v>930</v>
      </c>
      <c r="B185" s="31" t="s">
        <v>929</v>
      </c>
      <c r="C185" s="31" t="s">
        <v>399</v>
      </c>
      <c r="D185" s="31" t="s">
        <v>1543</v>
      </c>
      <c r="E185" s="31">
        <v>23</v>
      </c>
      <c r="F185" s="31">
        <v>23</v>
      </c>
      <c r="G185" s="9">
        <v>0</v>
      </c>
      <c r="H185" s="7" t="s">
        <v>1216</v>
      </c>
      <c r="I185" s="7" t="s">
        <v>1438</v>
      </c>
    </row>
    <row r="186" spans="1:9" ht="102" x14ac:dyDescent="0.25">
      <c r="A186" s="32" t="s">
        <v>930</v>
      </c>
      <c r="B186" s="31" t="s">
        <v>929</v>
      </c>
      <c r="C186" s="31" t="s">
        <v>399</v>
      </c>
      <c r="D186" s="31" t="s">
        <v>1543</v>
      </c>
      <c r="E186" s="31">
        <v>26</v>
      </c>
      <c r="F186" s="31">
        <v>26</v>
      </c>
      <c r="G186" s="9">
        <v>0</v>
      </c>
      <c r="H186" s="7" t="s">
        <v>1215</v>
      </c>
      <c r="I186" s="7" t="s">
        <v>1438</v>
      </c>
    </row>
    <row r="187" spans="1:9" ht="102" x14ac:dyDescent="0.25">
      <c r="A187" s="32" t="s">
        <v>930</v>
      </c>
      <c r="B187" s="31" t="s">
        <v>929</v>
      </c>
      <c r="C187" s="31" t="s">
        <v>399</v>
      </c>
      <c r="D187" s="31" t="s">
        <v>1543</v>
      </c>
      <c r="E187" s="31">
        <v>27</v>
      </c>
      <c r="F187" s="31">
        <v>27</v>
      </c>
      <c r="G187" s="9">
        <v>0</v>
      </c>
      <c r="H187" s="7" t="s">
        <v>1214</v>
      </c>
      <c r="I187" s="7" t="s">
        <v>1438</v>
      </c>
    </row>
    <row r="188" spans="1:9" ht="114.75" x14ac:dyDescent="0.25">
      <c r="A188" s="32" t="s">
        <v>930</v>
      </c>
      <c r="B188" s="31" t="s">
        <v>929</v>
      </c>
      <c r="C188" s="31" t="s">
        <v>168</v>
      </c>
      <c r="D188" s="31" t="s">
        <v>1543</v>
      </c>
      <c r="E188" s="31">
        <v>8</v>
      </c>
      <c r="F188" s="31">
        <v>8</v>
      </c>
      <c r="G188" s="9">
        <v>0</v>
      </c>
      <c r="H188" s="7" t="s">
        <v>1211</v>
      </c>
      <c r="I188" s="7" t="s">
        <v>1438</v>
      </c>
    </row>
    <row r="189" spans="1:9" ht="318.75" x14ac:dyDescent="0.25">
      <c r="A189" s="32" t="s">
        <v>930</v>
      </c>
      <c r="B189" s="31" t="s">
        <v>929</v>
      </c>
      <c r="C189" s="31" t="s">
        <v>168</v>
      </c>
      <c r="D189" s="31" t="s">
        <v>1543</v>
      </c>
      <c r="E189" s="31">
        <v>24</v>
      </c>
      <c r="F189" s="31">
        <v>26</v>
      </c>
      <c r="G189" s="9">
        <v>0</v>
      </c>
      <c r="H189" s="7" t="s">
        <v>1210</v>
      </c>
      <c r="I189" s="7" t="s">
        <v>1438</v>
      </c>
    </row>
    <row r="190" spans="1:9" ht="102" x14ac:dyDescent="0.25">
      <c r="A190" s="32" t="s">
        <v>930</v>
      </c>
      <c r="B190" s="31" t="s">
        <v>929</v>
      </c>
      <c r="C190" s="31" t="s">
        <v>258</v>
      </c>
      <c r="D190" s="31" t="s">
        <v>1543</v>
      </c>
      <c r="E190" s="31">
        <v>19</v>
      </c>
      <c r="F190" s="31">
        <v>19</v>
      </c>
      <c r="G190" s="9">
        <v>0</v>
      </c>
      <c r="H190" s="7" t="s">
        <v>1203</v>
      </c>
      <c r="I190" s="7" t="s">
        <v>1438</v>
      </c>
    </row>
    <row r="191" spans="1:9" ht="102" x14ac:dyDescent="0.25">
      <c r="A191" s="32" t="s">
        <v>930</v>
      </c>
      <c r="B191" s="31" t="s">
        <v>929</v>
      </c>
      <c r="C191" s="31" t="s">
        <v>258</v>
      </c>
      <c r="D191" s="31" t="s">
        <v>1543</v>
      </c>
      <c r="E191" s="31">
        <v>20</v>
      </c>
      <c r="F191" s="31">
        <v>20</v>
      </c>
      <c r="G191" s="9">
        <v>0</v>
      </c>
      <c r="H191" s="7" t="s">
        <v>1202</v>
      </c>
      <c r="I191" s="7" t="s">
        <v>1438</v>
      </c>
    </row>
    <row r="192" spans="1:9" ht="127.5" x14ac:dyDescent="0.25">
      <c r="A192" s="32" t="s">
        <v>930</v>
      </c>
      <c r="B192" s="31" t="s">
        <v>929</v>
      </c>
      <c r="C192" s="31" t="s">
        <v>258</v>
      </c>
      <c r="D192" s="31" t="s">
        <v>1543</v>
      </c>
      <c r="E192" s="31">
        <v>30</v>
      </c>
      <c r="F192" s="31">
        <v>30</v>
      </c>
      <c r="G192" s="9">
        <v>0</v>
      </c>
      <c r="H192" s="7" t="s">
        <v>1200</v>
      </c>
      <c r="I192" s="7" t="s">
        <v>1438</v>
      </c>
    </row>
    <row r="193" spans="1:9" ht="76.5" x14ac:dyDescent="0.25">
      <c r="A193" s="32" t="s">
        <v>930</v>
      </c>
      <c r="B193" s="31" t="s">
        <v>929</v>
      </c>
      <c r="C193" s="31" t="s">
        <v>737</v>
      </c>
      <c r="D193" s="31" t="s">
        <v>1543</v>
      </c>
      <c r="E193" s="31">
        <v>12</v>
      </c>
      <c r="F193" s="31">
        <v>12</v>
      </c>
      <c r="G193" s="9">
        <v>0</v>
      </c>
      <c r="H193" s="7" t="s">
        <v>1196</v>
      </c>
      <c r="I193" s="7" t="s">
        <v>1438</v>
      </c>
    </row>
    <row r="194" spans="1:9" ht="204" x14ac:dyDescent="0.25">
      <c r="A194" s="32" t="s">
        <v>930</v>
      </c>
      <c r="B194" s="31" t="s">
        <v>929</v>
      </c>
      <c r="C194" s="31" t="s">
        <v>737</v>
      </c>
      <c r="D194" s="31" t="s">
        <v>1543</v>
      </c>
      <c r="E194" s="31">
        <v>16</v>
      </c>
      <c r="F194" s="31">
        <v>17</v>
      </c>
      <c r="G194" s="9">
        <v>0</v>
      </c>
      <c r="H194" s="7" t="s">
        <v>1195</v>
      </c>
      <c r="I194" s="7" t="s">
        <v>1438</v>
      </c>
    </row>
    <row r="195" spans="1:9" ht="242.25" x14ac:dyDescent="0.25">
      <c r="A195" s="32" t="s">
        <v>930</v>
      </c>
      <c r="B195" s="31" t="s">
        <v>929</v>
      </c>
      <c r="C195" s="31" t="s">
        <v>737</v>
      </c>
      <c r="D195" s="31" t="s">
        <v>1543</v>
      </c>
      <c r="E195" s="31">
        <v>27</v>
      </c>
      <c r="F195" s="31">
        <v>31</v>
      </c>
      <c r="G195" s="9">
        <v>0</v>
      </c>
      <c r="H195" s="7" t="s">
        <v>1191</v>
      </c>
      <c r="I195" s="7" t="s">
        <v>1438</v>
      </c>
    </row>
    <row r="196" spans="1:9" ht="255" x14ac:dyDescent="0.25">
      <c r="A196" s="32" t="s">
        <v>930</v>
      </c>
      <c r="B196" s="31" t="s">
        <v>929</v>
      </c>
      <c r="C196" s="31" t="s">
        <v>675</v>
      </c>
      <c r="D196" s="31" t="s">
        <v>1543</v>
      </c>
      <c r="E196" s="31">
        <v>19</v>
      </c>
      <c r="F196" s="31">
        <v>21</v>
      </c>
      <c r="G196" s="9">
        <v>0</v>
      </c>
      <c r="H196" s="7" t="s">
        <v>1180</v>
      </c>
      <c r="I196" s="7" t="s">
        <v>1438</v>
      </c>
    </row>
    <row r="197" spans="1:9" ht="204" x14ac:dyDescent="0.25">
      <c r="A197" s="32" t="s">
        <v>930</v>
      </c>
      <c r="B197" s="31" t="s">
        <v>929</v>
      </c>
      <c r="C197" s="31" t="s">
        <v>675</v>
      </c>
      <c r="D197" s="31" t="s">
        <v>1543</v>
      </c>
      <c r="E197" s="31">
        <v>23</v>
      </c>
      <c r="F197" s="31">
        <v>25</v>
      </c>
      <c r="G197" s="9">
        <v>0</v>
      </c>
      <c r="H197" s="7" t="s">
        <v>1179</v>
      </c>
      <c r="I197" s="7" t="s">
        <v>1438</v>
      </c>
    </row>
    <row r="198" spans="1:9" ht="63.75" x14ac:dyDescent="0.25">
      <c r="A198" s="32" t="s">
        <v>930</v>
      </c>
      <c r="B198" s="31" t="s">
        <v>929</v>
      </c>
      <c r="C198" s="31" t="s">
        <v>675</v>
      </c>
      <c r="D198" s="31" t="s">
        <v>1543</v>
      </c>
      <c r="E198" s="31">
        <v>30</v>
      </c>
      <c r="F198" s="31">
        <v>30</v>
      </c>
      <c r="G198" s="9">
        <v>0</v>
      </c>
      <c r="H198" s="7" t="s">
        <v>1178</v>
      </c>
      <c r="I198" s="7" t="s">
        <v>1438</v>
      </c>
    </row>
    <row r="199" spans="1:9" ht="165.75" x14ac:dyDescent="0.25">
      <c r="A199" s="32" t="s">
        <v>930</v>
      </c>
      <c r="B199" s="31" t="s">
        <v>929</v>
      </c>
      <c r="C199" s="31" t="s">
        <v>675</v>
      </c>
      <c r="D199" s="31" t="s">
        <v>1543</v>
      </c>
      <c r="E199" s="31">
        <v>32</v>
      </c>
      <c r="F199" s="31">
        <v>32</v>
      </c>
      <c r="G199" s="9">
        <v>0</v>
      </c>
      <c r="H199" s="7" t="s">
        <v>1177</v>
      </c>
      <c r="I199" s="7" t="s">
        <v>1438</v>
      </c>
    </row>
    <row r="200" spans="1:9" ht="178.5" x14ac:dyDescent="0.25">
      <c r="A200" s="32" t="s">
        <v>930</v>
      </c>
      <c r="B200" s="31" t="s">
        <v>929</v>
      </c>
      <c r="C200" s="31" t="s">
        <v>675</v>
      </c>
      <c r="D200" s="31" t="s">
        <v>1543</v>
      </c>
      <c r="E200" s="31">
        <v>35</v>
      </c>
      <c r="F200" s="31">
        <v>35</v>
      </c>
      <c r="G200" s="9">
        <v>0</v>
      </c>
      <c r="H200" s="7" t="s">
        <v>1176</v>
      </c>
      <c r="I200" s="7" t="s">
        <v>1438</v>
      </c>
    </row>
    <row r="201" spans="1:9" ht="102" x14ac:dyDescent="0.25">
      <c r="A201" s="32" t="s">
        <v>930</v>
      </c>
      <c r="B201" s="31" t="s">
        <v>929</v>
      </c>
      <c r="C201" s="31" t="s">
        <v>422</v>
      </c>
      <c r="D201" s="31" t="s">
        <v>1543</v>
      </c>
      <c r="E201" s="31">
        <v>23</v>
      </c>
      <c r="F201" s="31">
        <v>23</v>
      </c>
      <c r="G201" s="9">
        <v>0</v>
      </c>
      <c r="H201" s="7" t="s">
        <v>1174</v>
      </c>
      <c r="I201" s="7" t="s">
        <v>1438</v>
      </c>
    </row>
    <row r="202" spans="1:9" ht="293.25" x14ac:dyDescent="0.25">
      <c r="A202" s="32" t="s">
        <v>930</v>
      </c>
      <c r="B202" s="31" t="s">
        <v>929</v>
      </c>
      <c r="C202" s="31" t="s">
        <v>795</v>
      </c>
      <c r="D202" s="31" t="s">
        <v>1543</v>
      </c>
      <c r="E202" s="31">
        <v>4</v>
      </c>
      <c r="F202" s="31">
        <v>5</v>
      </c>
      <c r="G202" s="9">
        <v>0</v>
      </c>
      <c r="H202" s="7" t="s">
        <v>1173</v>
      </c>
      <c r="I202" s="7" t="s">
        <v>1438</v>
      </c>
    </row>
    <row r="203" spans="1:9" ht="127.5" x14ac:dyDescent="0.25">
      <c r="A203" s="32" t="s">
        <v>930</v>
      </c>
      <c r="B203" s="31" t="s">
        <v>929</v>
      </c>
      <c r="C203" s="31" t="s">
        <v>795</v>
      </c>
      <c r="D203" s="31" t="s">
        <v>1543</v>
      </c>
      <c r="E203" s="31">
        <v>7</v>
      </c>
      <c r="F203" s="31">
        <v>7</v>
      </c>
      <c r="G203" s="9">
        <v>0</v>
      </c>
      <c r="H203" s="7" t="s">
        <v>1172</v>
      </c>
      <c r="I203" s="7" t="s">
        <v>1438</v>
      </c>
    </row>
    <row r="204" spans="1:9" ht="267.75" x14ac:dyDescent="0.25">
      <c r="A204" s="32" t="s">
        <v>930</v>
      </c>
      <c r="B204" s="31" t="s">
        <v>929</v>
      </c>
      <c r="C204" s="31" t="s">
        <v>41</v>
      </c>
      <c r="D204" s="31" t="s">
        <v>1543</v>
      </c>
      <c r="E204" s="31">
        <v>32</v>
      </c>
      <c r="F204" s="31">
        <v>33</v>
      </c>
      <c r="G204" s="9">
        <v>0</v>
      </c>
      <c r="H204" s="7" t="s">
        <v>1159</v>
      </c>
      <c r="I204" s="7" t="s">
        <v>1438</v>
      </c>
    </row>
    <row r="205" spans="1:9" ht="102" x14ac:dyDescent="0.25">
      <c r="A205" s="32" t="s">
        <v>930</v>
      </c>
      <c r="B205" s="31" t="s">
        <v>929</v>
      </c>
      <c r="C205" s="31" t="s">
        <v>487</v>
      </c>
      <c r="D205" s="31" t="s">
        <v>1543</v>
      </c>
      <c r="E205" s="31">
        <v>15</v>
      </c>
      <c r="F205" s="31">
        <v>15</v>
      </c>
      <c r="G205" s="9">
        <v>0</v>
      </c>
      <c r="H205" s="7" t="s">
        <v>1495</v>
      </c>
      <c r="I205" s="7" t="s">
        <v>1438</v>
      </c>
    </row>
    <row r="206" spans="1:9" ht="127.5" x14ac:dyDescent="0.25">
      <c r="A206" s="32" t="s">
        <v>930</v>
      </c>
      <c r="B206" s="31" t="s">
        <v>929</v>
      </c>
      <c r="C206" s="31" t="s">
        <v>487</v>
      </c>
      <c r="D206" s="31" t="s">
        <v>1543</v>
      </c>
      <c r="E206" s="31">
        <v>16</v>
      </c>
      <c r="F206" s="31">
        <v>16</v>
      </c>
      <c r="G206" s="9">
        <v>0</v>
      </c>
      <c r="H206" s="7" t="s">
        <v>1158</v>
      </c>
      <c r="I206" s="7" t="s">
        <v>1438</v>
      </c>
    </row>
    <row r="207" spans="1:9" ht="89.25" x14ac:dyDescent="0.25">
      <c r="A207" s="32" t="s">
        <v>930</v>
      </c>
      <c r="B207" s="31" t="s">
        <v>929</v>
      </c>
      <c r="C207" s="31" t="s">
        <v>487</v>
      </c>
      <c r="D207" s="31" t="s">
        <v>1543</v>
      </c>
      <c r="E207" s="31">
        <v>20</v>
      </c>
      <c r="F207" s="31">
        <v>20</v>
      </c>
      <c r="G207" s="9">
        <v>0</v>
      </c>
      <c r="H207" s="7" t="s">
        <v>1497</v>
      </c>
      <c r="I207" s="7" t="s">
        <v>1438</v>
      </c>
    </row>
    <row r="208" spans="1:9" ht="409.5" x14ac:dyDescent="0.25">
      <c r="A208" s="32" t="s">
        <v>930</v>
      </c>
      <c r="B208" s="31" t="s">
        <v>929</v>
      </c>
      <c r="C208" s="31" t="s">
        <v>487</v>
      </c>
      <c r="D208" s="31" t="s">
        <v>1543</v>
      </c>
      <c r="E208" s="31">
        <v>22</v>
      </c>
      <c r="F208" s="31">
        <v>26</v>
      </c>
      <c r="G208" s="9">
        <v>0</v>
      </c>
      <c r="H208" s="7" t="s">
        <v>1499</v>
      </c>
      <c r="I208" s="7" t="s">
        <v>1438</v>
      </c>
    </row>
    <row r="209" spans="1:9" ht="102" x14ac:dyDescent="0.25">
      <c r="A209" s="32" t="s">
        <v>930</v>
      </c>
      <c r="B209" s="31" t="s">
        <v>929</v>
      </c>
      <c r="C209" s="31" t="s">
        <v>339</v>
      </c>
      <c r="D209" s="31" t="s">
        <v>1543</v>
      </c>
      <c r="E209" s="31">
        <v>16</v>
      </c>
      <c r="F209" s="31">
        <v>16</v>
      </c>
      <c r="G209" s="9">
        <v>0</v>
      </c>
      <c r="H209" s="7" t="s">
        <v>1155</v>
      </c>
      <c r="I209" s="7" t="s">
        <v>1438</v>
      </c>
    </row>
    <row r="210" spans="1:9" ht="153" x14ac:dyDescent="0.25">
      <c r="A210" s="32" t="s">
        <v>930</v>
      </c>
      <c r="B210" s="31" t="s">
        <v>929</v>
      </c>
      <c r="C210" s="31" t="s">
        <v>182</v>
      </c>
      <c r="D210" s="31" t="s">
        <v>1543</v>
      </c>
      <c r="E210" s="31">
        <v>7</v>
      </c>
      <c r="F210" s="31">
        <v>7</v>
      </c>
      <c r="G210" s="9">
        <v>0</v>
      </c>
      <c r="H210" s="7" t="s">
        <v>1152</v>
      </c>
      <c r="I210" s="7" t="s">
        <v>1438</v>
      </c>
    </row>
    <row r="211" spans="1:9" ht="89.25" x14ac:dyDescent="0.25">
      <c r="A211" s="32" t="s">
        <v>930</v>
      </c>
      <c r="B211" s="31" t="s">
        <v>929</v>
      </c>
      <c r="C211" s="31" t="s">
        <v>182</v>
      </c>
      <c r="D211" s="31" t="s">
        <v>1543</v>
      </c>
      <c r="E211" s="31">
        <v>17</v>
      </c>
      <c r="F211" s="31">
        <v>17</v>
      </c>
      <c r="G211" s="9">
        <v>0</v>
      </c>
      <c r="H211" s="7" t="s">
        <v>1151</v>
      </c>
      <c r="I211" s="7" t="s">
        <v>1438</v>
      </c>
    </row>
    <row r="212" spans="1:9" ht="191.25" x14ac:dyDescent="0.25">
      <c r="A212" s="32" t="s">
        <v>930</v>
      </c>
      <c r="B212" s="31" t="s">
        <v>929</v>
      </c>
      <c r="C212" s="31" t="s">
        <v>327</v>
      </c>
      <c r="D212" s="31" t="s">
        <v>1543</v>
      </c>
      <c r="E212" s="31">
        <v>15</v>
      </c>
      <c r="F212" s="31">
        <v>15</v>
      </c>
      <c r="G212" s="9">
        <v>0</v>
      </c>
      <c r="H212" s="7" t="s">
        <v>1146</v>
      </c>
      <c r="I212" s="7" t="s">
        <v>1438</v>
      </c>
    </row>
    <row r="213" spans="1:9" ht="165.75" x14ac:dyDescent="0.25">
      <c r="A213" s="32" t="s">
        <v>930</v>
      </c>
      <c r="B213" s="31" t="s">
        <v>929</v>
      </c>
      <c r="C213" s="31" t="s">
        <v>327</v>
      </c>
      <c r="D213" s="31" t="s">
        <v>1543</v>
      </c>
      <c r="E213" s="31">
        <v>16</v>
      </c>
      <c r="F213" s="31">
        <v>16</v>
      </c>
      <c r="G213" s="9">
        <v>0</v>
      </c>
      <c r="H213" s="7" t="s">
        <v>1145</v>
      </c>
      <c r="I213" s="7" t="s">
        <v>1438</v>
      </c>
    </row>
    <row r="214" spans="1:9" ht="76.5" x14ac:dyDescent="0.25">
      <c r="A214" s="32" t="s">
        <v>930</v>
      </c>
      <c r="B214" s="31" t="s">
        <v>929</v>
      </c>
      <c r="C214" s="31" t="s">
        <v>57</v>
      </c>
      <c r="D214" s="31" t="s">
        <v>1543</v>
      </c>
      <c r="E214" s="31">
        <v>5</v>
      </c>
      <c r="F214" s="31">
        <v>5</v>
      </c>
      <c r="G214" s="9">
        <v>0</v>
      </c>
      <c r="H214" s="7" t="s">
        <v>1143</v>
      </c>
      <c r="I214" s="7" t="s">
        <v>1438</v>
      </c>
    </row>
    <row r="215" spans="1:9" ht="102" x14ac:dyDescent="0.25">
      <c r="A215" s="32" t="s">
        <v>930</v>
      </c>
      <c r="B215" s="31" t="s">
        <v>929</v>
      </c>
      <c r="C215" s="31" t="s">
        <v>57</v>
      </c>
      <c r="D215" s="31" t="s">
        <v>1543</v>
      </c>
      <c r="E215" s="31">
        <v>7</v>
      </c>
      <c r="F215" s="31">
        <v>7</v>
      </c>
      <c r="G215" s="9">
        <v>0</v>
      </c>
      <c r="H215" s="7" t="s">
        <v>1142</v>
      </c>
      <c r="I215" s="7" t="s">
        <v>1438</v>
      </c>
    </row>
    <row r="216" spans="1:9" ht="114.75" x14ac:dyDescent="0.25">
      <c r="A216" s="32" t="s">
        <v>930</v>
      </c>
      <c r="B216" s="31" t="s">
        <v>929</v>
      </c>
      <c r="C216" s="31" t="s">
        <v>57</v>
      </c>
      <c r="D216" s="31" t="s">
        <v>1543</v>
      </c>
      <c r="E216" s="31">
        <v>8</v>
      </c>
      <c r="F216" s="31">
        <v>8</v>
      </c>
      <c r="G216" s="9">
        <v>0</v>
      </c>
      <c r="H216" s="7" t="s">
        <v>1141</v>
      </c>
      <c r="I216" s="7" t="s">
        <v>1438</v>
      </c>
    </row>
    <row r="217" spans="1:9" ht="102" x14ac:dyDescent="0.25">
      <c r="A217" s="32" t="s">
        <v>930</v>
      </c>
      <c r="B217" s="31" t="s">
        <v>929</v>
      </c>
      <c r="C217" s="31" t="s">
        <v>57</v>
      </c>
      <c r="D217" s="31" t="s">
        <v>1543</v>
      </c>
      <c r="E217" s="31">
        <v>10</v>
      </c>
      <c r="F217" s="31">
        <v>10</v>
      </c>
      <c r="G217" s="9">
        <v>0</v>
      </c>
      <c r="H217" s="7" t="s">
        <v>1140</v>
      </c>
      <c r="I217" s="7" t="s">
        <v>1438</v>
      </c>
    </row>
    <row r="218" spans="1:9" ht="102" x14ac:dyDescent="0.25">
      <c r="A218" s="32" t="s">
        <v>930</v>
      </c>
      <c r="B218" s="31" t="s">
        <v>929</v>
      </c>
      <c r="C218" s="31" t="s">
        <v>57</v>
      </c>
      <c r="D218" s="31" t="s">
        <v>1543</v>
      </c>
      <c r="E218" s="31">
        <v>17</v>
      </c>
      <c r="F218" s="31">
        <v>17</v>
      </c>
      <c r="G218" s="9">
        <v>0</v>
      </c>
      <c r="H218" s="7" t="s">
        <v>1138</v>
      </c>
      <c r="I218" s="7" t="s">
        <v>1438</v>
      </c>
    </row>
    <row r="219" spans="1:9" ht="204" x14ac:dyDescent="0.25">
      <c r="A219" s="32" t="s">
        <v>930</v>
      </c>
      <c r="B219" s="31" t="s">
        <v>929</v>
      </c>
      <c r="C219" s="31" t="s">
        <v>57</v>
      </c>
      <c r="D219" s="31" t="s">
        <v>1543</v>
      </c>
      <c r="E219" s="31">
        <v>19</v>
      </c>
      <c r="F219" s="31">
        <v>20</v>
      </c>
      <c r="G219" s="9">
        <v>0</v>
      </c>
      <c r="H219" s="7" t="s">
        <v>1137</v>
      </c>
      <c r="I219" s="7" t="s">
        <v>1438</v>
      </c>
    </row>
    <row r="220" spans="1:9" ht="293.25" x14ac:dyDescent="0.25">
      <c r="A220" s="32" t="s">
        <v>930</v>
      </c>
      <c r="B220" s="31" t="s">
        <v>929</v>
      </c>
      <c r="C220" s="31" t="s">
        <v>57</v>
      </c>
      <c r="D220" s="31" t="s">
        <v>1543</v>
      </c>
      <c r="E220" s="31">
        <v>25</v>
      </c>
      <c r="F220" s="31">
        <v>26</v>
      </c>
      <c r="G220" s="9">
        <v>0</v>
      </c>
      <c r="H220" s="7" t="s">
        <v>1135</v>
      </c>
      <c r="I220" s="7" t="s">
        <v>1438</v>
      </c>
    </row>
    <row r="221" spans="1:9" ht="102" x14ac:dyDescent="0.25">
      <c r="A221" s="32" t="s">
        <v>930</v>
      </c>
      <c r="B221" s="31" t="s">
        <v>929</v>
      </c>
      <c r="C221" s="31" t="s">
        <v>57</v>
      </c>
      <c r="D221" s="31" t="s">
        <v>1543</v>
      </c>
      <c r="E221" s="31">
        <v>29</v>
      </c>
      <c r="F221" s="31">
        <v>29</v>
      </c>
      <c r="G221" s="9">
        <v>0</v>
      </c>
      <c r="H221" s="7" t="s">
        <v>1134</v>
      </c>
      <c r="I221" s="7" t="s">
        <v>1438</v>
      </c>
    </row>
    <row r="222" spans="1:9" ht="140.25" x14ac:dyDescent="0.25">
      <c r="A222" s="32" t="s">
        <v>930</v>
      </c>
      <c r="B222" s="31" t="s">
        <v>929</v>
      </c>
      <c r="C222" s="31" t="s">
        <v>57</v>
      </c>
      <c r="D222" s="31" t="s">
        <v>1543</v>
      </c>
      <c r="E222" s="31">
        <v>30</v>
      </c>
      <c r="F222" s="31">
        <v>30</v>
      </c>
      <c r="G222" s="9">
        <v>0</v>
      </c>
      <c r="H222" s="7" t="s">
        <v>1133</v>
      </c>
      <c r="I222" s="7" t="s">
        <v>1438</v>
      </c>
    </row>
    <row r="223" spans="1:9" ht="102" x14ac:dyDescent="0.25">
      <c r="A223" s="32" t="s">
        <v>930</v>
      </c>
      <c r="B223" s="31" t="s">
        <v>929</v>
      </c>
      <c r="C223" s="31" t="s">
        <v>57</v>
      </c>
      <c r="D223" s="31" t="s">
        <v>1543</v>
      </c>
      <c r="E223" s="31">
        <v>33</v>
      </c>
      <c r="F223" s="31">
        <v>33</v>
      </c>
      <c r="G223" s="9">
        <v>0</v>
      </c>
      <c r="H223" s="7" t="s">
        <v>1132</v>
      </c>
      <c r="I223" s="7" t="s">
        <v>1438</v>
      </c>
    </row>
    <row r="224" spans="1:9" ht="178.5" x14ac:dyDescent="0.25">
      <c r="A224" s="32" t="s">
        <v>930</v>
      </c>
      <c r="B224" s="31" t="s">
        <v>929</v>
      </c>
      <c r="C224" s="31" t="s">
        <v>57</v>
      </c>
      <c r="D224" s="31" t="s">
        <v>1543</v>
      </c>
      <c r="E224" s="31">
        <v>34</v>
      </c>
      <c r="F224" s="31">
        <v>34</v>
      </c>
      <c r="G224" s="9">
        <v>0</v>
      </c>
      <c r="H224" s="7" t="s">
        <v>1131</v>
      </c>
      <c r="I224" s="7" t="s">
        <v>1438</v>
      </c>
    </row>
    <row r="225" spans="1:9" ht="255" x14ac:dyDescent="0.25">
      <c r="A225" s="32" t="s">
        <v>930</v>
      </c>
      <c r="B225" s="31" t="s">
        <v>929</v>
      </c>
      <c r="C225" s="31" t="s">
        <v>57</v>
      </c>
      <c r="D225" s="31" t="s">
        <v>1543</v>
      </c>
      <c r="E225" s="31">
        <v>36</v>
      </c>
      <c r="F225" s="31">
        <v>38</v>
      </c>
      <c r="G225" s="9">
        <v>0</v>
      </c>
      <c r="H225" s="7" t="s">
        <v>1130</v>
      </c>
      <c r="I225" s="7" t="s">
        <v>1438</v>
      </c>
    </row>
    <row r="226" spans="1:9" ht="357" x14ac:dyDescent="0.25">
      <c r="A226" s="32" t="s">
        <v>930</v>
      </c>
      <c r="B226" s="31" t="s">
        <v>929</v>
      </c>
      <c r="C226" s="31" t="s">
        <v>211</v>
      </c>
      <c r="D226" s="31" t="s">
        <v>1543</v>
      </c>
      <c r="E226" s="31">
        <v>11</v>
      </c>
      <c r="F226" s="31">
        <v>13</v>
      </c>
      <c r="G226" s="9">
        <v>0</v>
      </c>
      <c r="H226" s="7" t="s">
        <v>1128</v>
      </c>
      <c r="I226" s="7" t="s">
        <v>1438</v>
      </c>
    </row>
    <row r="227" spans="1:9" ht="293.25" x14ac:dyDescent="0.25">
      <c r="A227" s="32" t="s">
        <v>930</v>
      </c>
      <c r="B227" s="31" t="s">
        <v>929</v>
      </c>
      <c r="C227" s="31" t="s">
        <v>211</v>
      </c>
      <c r="D227" s="31" t="s">
        <v>1543</v>
      </c>
      <c r="E227" s="31">
        <v>17</v>
      </c>
      <c r="F227" s="31">
        <v>18</v>
      </c>
      <c r="G227" s="9">
        <v>0</v>
      </c>
      <c r="H227" s="7" t="s">
        <v>1126</v>
      </c>
      <c r="I227" s="7" t="s">
        <v>1438</v>
      </c>
    </row>
    <row r="228" spans="1:9" ht="114.75" x14ac:dyDescent="0.25">
      <c r="A228" s="32" t="s">
        <v>930</v>
      </c>
      <c r="B228" s="31" t="s">
        <v>929</v>
      </c>
      <c r="C228" s="31" t="s">
        <v>211</v>
      </c>
      <c r="D228" s="31" t="s">
        <v>1543</v>
      </c>
      <c r="E228" s="31">
        <v>39</v>
      </c>
      <c r="F228" s="31">
        <v>39</v>
      </c>
      <c r="G228" s="9">
        <v>0</v>
      </c>
      <c r="H228" s="7" t="s">
        <v>1122</v>
      </c>
      <c r="I228" s="7" t="s">
        <v>1438</v>
      </c>
    </row>
    <row r="229" spans="1:9" ht="178.5" x14ac:dyDescent="0.25">
      <c r="A229" s="32" t="s">
        <v>930</v>
      </c>
      <c r="B229" s="31" t="s">
        <v>929</v>
      </c>
      <c r="C229" s="31" t="s">
        <v>724</v>
      </c>
      <c r="D229" s="31" t="s">
        <v>1543</v>
      </c>
      <c r="E229" s="31">
        <v>17</v>
      </c>
      <c r="F229" s="31">
        <v>17</v>
      </c>
      <c r="G229" s="9">
        <v>0</v>
      </c>
      <c r="H229" s="7" t="s">
        <v>1119</v>
      </c>
      <c r="I229" s="7" t="s">
        <v>1438</v>
      </c>
    </row>
    <row r="230" spans="1:9" ht="293.25" x14ac:dyDescent="0.25">
      <c r="A230" s="32" t="s">
        <v>930</v>
      </c>
      <c r="B230" s="31" t="s">
        <v>929</v>
      </c>
      <c r="C230" s="31" t="s">
        <v>754</v>
      </c>
      <c r="D230" s="31" t="s">
        <v>1543</v>
      </c>
      <c r="E230" s="31">
        <v>15</v>
      </c>
      <c r="F230" s="31">
        <v>16</v>
      </c>
      <c r="G230" s="9">
        <v>0</v>
      </c>
      <c r="H230" s="7" t="s">
        <v>1107</v>
      </c>
      <c r="I230" s="7" t="s">
        <v>1438</v>
      </c>
    </row>
    <row r="231" spans="1:9" ht="369.75" x14ac:dyDescent="0.25">
      <c r="A231" s="32" t="s">
        <v>930</v>
      </c>
      <c r="B231" s="31" t="s">
        <v>929</v>
      </c>
      <c r="C231" s="31" t="s">
        <v>754</v>
      </c>
      <c r="D231" s="31" t="s">
        <v>1543</v>
      </c>
      <c r="E231" s="31">
        <v>19</v>
      </c>
      <c r="F231" s="31">
        <v>21</v>
      </c>
      <c r="G231" s="9">
        <v>0</v>
      </c>
      <c r="H231" s="7" t="s">
        <v>1106</v>
      </c>
      <c r="I231" s="7" t="s">
        <v>1438</v>
      </c>
    </row>
    <row r="232" spans="1:9" ht="89.25" x14ac:dyDescent="0.25">
      <c r="A232" s="32" t="s">
        <v>930</v>
      </c>
      <c r="B232" s="31" t="s">
        <v>929</v>
      </c>
      <c r="C232" s="31" t="s">
        <v>246</v>
      </c>
      <c r="D232" s="31" t="s">
        <v>1543</v>
      </c>
      <c r="E232" s="31">
        <v>19</v>
      </c>
      <c r="F232" s="31">
        <v>19</v>
      </c>
      <c r="G232" s="9">
        <v>0</v>
      </c>
      <c r="H232" s="7" t="s">
        <v>1099</v>
      </c>
      <c r="I232" s="7" t="s">
        <v>1438</v>
      </c>
    </row>
    <row r="233" spans="1:9" ht="127.5" x14ac:dyDescent="0.25">
      <c r="A233" s="32" t="s">
        <v>930</v>
      </c>
      <c r="B233" s="31" t="s">
        <v>929</v>
      </c>
      <c r="C233" s="31" t="s">
        <v>522</v>
      </c>
      <c r="D233" s="31" t="s">
        <v>1543</v>
      </c>
      <c r="E233" s="31">
        <v>22</v>
      </c>
      <c r="F233" s="31">
        <v>22</v>
      </c>
      <c r="G233" s="9">
        <v>0</v>
      </c>
      <c r="H233" s="7" t="s">
        <v>1093</v>
      </c>
      <c r="I233" s="7" t="s">
        <v>1438</v>
      </c>
    </row>
    <row r="234" spans="1:9" ht="102" x14ac:dyDescent="0.25">
      <c r="A234" s="32" t="s">
        <v>930</v>
      </c>
      <c r="B234" s="31" t="s">
        <v>929</v>
      </c>
      <c r="C234" s="31" t="s">
        <v>522</v>
      </c>
      <c r="D234" s="31" t="s">
        <v>1543</v>
      </c>
      <c r="E234" s="31">
        <v>37</v>
      </c>
      <c r="F234" s="31">
        <v>37</v>
      </c>
      <c r="G234" s="9">
        <v>0</v>
      </c>
      <c r="H234" s="7" t="s">
        <v>1091</v>
      </c>
      <c r="I234" s="7" t="s">
        <v>1438</v>
      </c>
    </row>
    <row r="235" spans="1:9" ht="114.75" x14ac:dyDescent="0.25">
      <c r="A235" s="32" t="s">
        <v>930</v>
      </c>
      <c r="B235" s="31" t="s">
        <v>929</v>
      </c>
      <c r="C235" s="31" t="s">
        <v>603</v>
      </c>
      <c r="D235" s="31" t="s">
        <v>1543</v>
      </c>
      <c r="E235" s="31">
        <v>11</v>
      </c>
      <c r="F235" s="31">
        <v>11</v>
      </c>
      <c r="G235" s="9">
        <v>0</v>
      </c>
      <c r="H235" s="7" t="s">
        <v>1090</v>
      </c>
      <c r="I235" s="7" t="s">
        <v>1438</v>
      </c>
    </row>
    <row r="236" spans="1:9" ht="153" x14ac:dyDescent="0.25">
      <c r="A236" s="32" t="s">
        <v>930</v>
      </c>
      <c r="B236" s="31" t="s">
        <v>929</v>
      </c>
      <c r="C236" s="31" t="s">
        <v>603</v>
      </c>
      <c r="D236" s="31" t="s">
        <v>1543</v>
      </c>
      <c r="E236" s="31">
        <v>15</v>
      </c>
      <c r="F236" s="31">
        <v>15</v>
      </c>
      <c r="G236" s="9">
        <v>0</v>
      </c>
      <c r="H236" s="7" t="s">
        <v>1089</v>
      </c>
      <c r="I236" s="7" t="s">
        <v>1438</v>
      </c>
    </row>
    <row r="237" spans="1:9" ht="140.25" x14ac:dyDescent="0.25">
      <c r="A237" s="32" t="s">
        <v>930</v>
      </c>
      <c r="B237" s="31" t="s">
        <v>929</v>
      </c>
      <c r="C237" s="31" t="s">
        <v>603</v>
      </c>
      <c r="D237" s="31" t="s">
        <v>1543</v>
      </c>
      <c r="E237" s="31">
        <v>29</v>
      </c>
      <c r="F237" s="31">
        <v>29</v>
      </c>
      <c r="G237" s="9">
        <v>0</v>
      </c>
      <c r="H237" s="7" t="s">
        <v>1086</v>
      </c>
      <c r="I237" s="7" t="s">
        <v>1438</v>
      </c>
    </row>
    <row r="238" spans="1:9" ht="102" x14ac:dyDescent="0.25">
      <c r="A238" s="32" t="s">
        <v>930</v>
      </c>
      <c r="B238" s="31" t="s">
        <v>929</v>
      </c>
      <c r="C238" s="31" t="s">
        <v>616</v>
      </c>
      <c r="D238" s="31" t="s">
        <v>1543</v>
      </c>
      <c r="E238" s="31">
        <v>5</v>
      </c>
      <c r="F238" s="31">
        <v>5</v>
      </c>
      <c r="G238" s="9">
        <v>0</v>
      </c>
      <c r="H238" s="7" t="s">
        <v>1075</v>
      </c>
      <c r="I238" s="7" t="s">
        <v>1438</v>
      </c>
    </row>
    <row r="239" spans="1:9" ht="102" x14ac:dyDescent="0.25">
      <c r="A239" s="32" t="s">
        <v>930</v>
      </c>
      <c r="B239" s="31" t="s">
        <v>929</v>
      </c>
      <c r="C239" s="31" t="s">
        <v>616</v>
      </c>
      <c r="D239" s="31" t="s">
        <v>1543</v>
      </c>
      <c r="E239" s="31">
        <v>21</v>
      </c>
      <c r="F239" s="31">
        <v>21</v>
      </c>
      <c r="G239" s="9">
        <v>0</v>
      </c>
      <c r="H239" s="7" t="s">
        <v>1072</v>
      </c>
      <c r="I239" s="7" t="s">
        <v>1438</v>
      </c>
    </row>
    <row r="240" spans="1:9" ht="63.75" x14ac:dyDescent="0.25">
      <c r="A240" s="32" t="s">
        <v>930</v>
      </c>
      <c r="B240" s="31" t="s">
        <v>929</v>
      </c>
      <c r="C240" s="31" t="s">
        <v>616</v>
      </c>
      <c r="D240" s="31" t="s">
        <v>1543</v>
      </c>
      <c r="E240" s="31">
        <v>22</v>
      </c>
      <c r="F240" s="31">
        <v>22</v>
      </c>
      <c r="G240" s="9">
        <v>0</v>
      </c>
      <c r="H240" s="7" t="s">
        <v>1071</v>
      </c>
      <c r="I240" s="7" t="s">
        <v>1438</v>
      </c>
    </row>
    <row r="241" spans="1:9" ht="102" x14ac:dyDescent="0.25">
      <c r="A241" s="32" t="s">
        <v>930</v>
      </c>
      <c r="B241" s="31" t="s">
        <v>929</v>
      </c>
      <c r="C241" s="31" t="s">
        <v>616</v>
      </c>
      <c r="D241" s="31" t="s">
        <v>1543</v>
      </c>
      <c r="E241" s="31">
        <v>24</v>
      </c>
      <c r="F241" s="31">
        <v>24</v>
      </c>
      <c r="G241" s="9">
        <v>0</v>
      </c>
      <c r="H241" s="7" t="s">
        <v>1070</v>
      </c>
      <c r="I241" s="7" t="s">
        <v>1438</v>
      </c>
    </row>
    <row r="242" spans="1:9" ht="114.75" x14ac:dyDescent="0.25">
      <c r="A242" s="32" t="s">
        <v>930</v>
      </c>
      <c r="B242" s="31" t="s">
        <v>929</v>
      </c>
      <c r="C242" s="31" t="s">
        <v>616</v>
      </c>
      <c r="D242" s="31" t="s">
        <v>1543</v>
      </c>
      <c r="E242" s="31">
        <v>32</v>
      </c>
      <c r="F242" s="31">
        <v>32</v>
      </c>
      <c r="G242" s="9">
        <v>0</v>
      </c>
      <c r="H242" s="7" t="s">
        <v>1068</v>
      </c>
      <c r="I242" s="7" t="s">
        <v>1438</v>
      </c>
    </row>
    <row r="243" spans="1:9" ht="191.25" x14ac:dyDescent="0.25">
      <c r="A243" s="32" t="s">
        <v>930</v>
      </c>
      <c r="B243" s="31" t="s">
        <v>929</v>
      </c>
      <c r="C243" s="31" t="s">
        <v>128</v>
      </c>
      <c r="D243" s="31" t="s">
        <v>1543</v>
      </c>
      <c r="E243" s="31">
        <v>11</v>
      </c>
      <c r="F243" s="31">
        <v>11</v>
      </c>
      <c r="G243" s="9">
        <v>0</v>
      </c>
      <c r="H243" s="7" t="s">
        <v>1511</v>
      </c>
      <c r="I243" s="7" t="s">
        <v>1438</v>
      </c>
    </row>
    <row r="244" spans="1:9" ht="357" x14ac:dyDescent="0.25">
      <c r="A244" s="32" t="s">
        <v>930</v>
      </c>
      <c r="B244" s="31" t="s">
        <v>929</v>
      </c>
      <c r="C244" s="31" t="s">
        <v>128</v>
      </c>
      <c r="D244" s="31" t="s">
        <v>1543</v>
      </c>
      <c r="E244" s="31">
        <v>27</v>
      </c>
      <c r="F244" s="31">
        <v>29</v>
      </c>
      <c r="G244" s="9">
        <v>0</v>
      </c>
      <c r="H244" s="7" t="s">
        <v>1064</v>
      </c>
      <c r="I244" s="7" t="s">
        <v>1438</v>
      </c>
    </row>
    <row r="245" spans="1:9" ht="127.5" x14ac:dyDescent="0.25">
      <c r="A245" s="32" t="s">
        <v>930</v>
      </c>
      <c r="B245" s="31" t="s">
        <v>929</v>
      </c>
      <c r="C245" s="31" t="s">
        <v>716</v>
      </c>
      <c r="D245" s="31" t="s">
        <v>1543</v>
      </c>
      <c r="E245" s="31">
        <v>7</v>
      </c>
      <c r="F245" s="31">
        <v>7</v>
      </c>
      <c r="G245" s="9">
        <v>0</v>
      </c>
      <c r="H245" s="7" t="s">
        <v>1057</v>
      </c>
      <c r="I245" s="7" t="s">
        <v>1438</v>
      </c>
    </row>
    <row r="246" spans="1:9" ht="140.25" x14ac:dyDescent="0.25">
      <c r="A246" s="32" t="s">
        <v>930</v>
      </c>
      <c r="B246" s="31" t="s">
        <v>929</v>
      </c>
      <c r="C246" s="31" t="s">
        <v>716</v>
      </c>
      <c r="D246" s="31" t="s">
        <v>1543</v>
      </c>
      <c r="E246" s="31">
        <v>14</v>
      </c>
      <c r="F246" s="31">
        <v>14</v>
      </c>
      <c r="G246" s="9">
        <v>0</v>
      </c>
      <c r="H246" s="7" t="s">
        <v>1056</v>
      </c>
      <c r="I246" s="7" t="s">
        <v>1438</v>
      </c>
    </row>
    <row r="247" spans="1:9" ht="229.5" x14ac:dyDescent="0.25">
      <c r="A247" s="32" t="s">
        <v>930</v>
      </c>
      <c r="B247" s="31" t="s">
        <v>929</v>
      </c>
      <c r="C247" s="31" t="s">
        <v>716</v>
      </c>
      <c r="D247" s="31" t="s">
        <v>1543</v>
      </c>
      <c r="E247" s="31">
        <v>18</v>
      </c>
      <c r="F247" s="31">
        <v>18</v>
      </c>
      <c r="G247" s="9">
        <v>0</v>
      </c>
      <c r="H247" s="7" t="s">
        <v>1052</v>
      </c>
      <c r="I247" s="7" t="s">
        <v>1438</v>
      </c>
    </row>
    <row r="248" spans="1:9" ht="89.25" x14ac:dyDescent="0.25">
      <c r="A248" s="32" t="s">
        <v>930</v>
      </c>
      <c r="B248" s="31" t="s">
        <v>929</v>
      </c>
      <c r="C248" s="31" t="s">
        <v>716</v>
      </c>
      <c r="D248" s="31" t="s">
        <v>1543</v>
      </c>
      <c r="E248" s="31">
        <v>21</v>
      </c>
      <c r="F248" s="31">
        <v>21</v>
      </c>
      <c r="G248" s="9">
        <v>0</v>
      </c>
      <c r="H248" s="7" t="s">
        <v>1051</v>
      </c>
      <c r="I248" s="7" t="s">
        <v>1438</v>
      </c>
    </row>
    <row r="249" spans="1:9" ht="267.75" x14ac:dyDescent="0.25">
      <c r="A249" s="32" t="s">
        <v>930</v>
      </c>
      <c r="B249" s="31" t="s">
        <v>929</v>
      </c>
      <c r="C249" s="31" t="s">
        <v>716</v>
      </c>
      <c r="D249" s="31" t="s">
        <v>1543</v>
      </c>
      <c r="E249" s="31">
        <v>24</v>
      </c>
      <c r="F249" s="31">
        <v>26</v>
      </c>
      <c r="G249" s="9">
        <v>0</v>
      </c>
      <c r="H249" s="7" t="s">
        <v>1050</v>
      </c>
      <c r="I249" s="7" t="s">
        <v>1438</v>
      </c>
    </row>
    <row r="250" spans="1:9" ht="114.75" x14ac:dyDescent="0.25">
      <c r="A250" s="32" t="s">
        <v>930</v>
      </c>
      <c r="B250" s="31" t="s">
        <v>929</v>
      </c>
      <c r="C250" s="31" t="s">
        <v>272</v>
      </c>
      <c r="D250" s="31" t="s">
        <v>1543</v>
      </c>
      <c r="E250" s="31">
        <v>16</v>
      </c>
      <c r="F250" s="31">
        <v>16</v>
      </c>
      <c r="G250" s="9">
        <v>0</v>
      </c>
      <c r="H250" s="7" t="s">
        <v>1045</v>
      </c>
      <c r="I250" s="7" t="s">
        <v>1438</v>
      </c>
    </row>
    <row r="251" spans="1:9" ht="89.25" x14ac:dyDescent="0.25">
      <c r="A251" s="32" t="s">
        <v>930</v>
      </c>
      <c r="B251" s="31" t="s">
        <v>929</v>
      </c>
      <c r="C251" s="31" t="s">
        <v>272</v>
      </c>
      <c r="D251" s="31" t="s">
        <v>1543</v>
      </c>
      <c r="E251" s="31">
        <v>18</v>
      </c>
      <c r="F251" s="31">
        <v>18</v>
      </c>
      <c r="G251" s="9">
        <v>0</v>
      </c>
      <c r="H251" s="7" t="s">
        <v>1043</v>
      </c>
      <c r="I251" s="7" t="s">
        <v>1438</v>
      </c>
    </row>
    <row r="252" spans="1:9" ht="331.5" x14ac:dyDescent="0.25">
      <c r="A252" s="32" t="s">
        <v>930</v>
      </c>
      <c r="B252" s="31" t="s">
        <v>929</v>
      </c>
      <c r="C252" s="31" t="s">
        <v>553</v>
      </c>
      <c r="D252" s="31" t="s">
        <v>1543</v>
      </c>
      <c r="E252" s="31">
        <v>5</v>
      </c>
      <c r="F252" s="31">
        <v>6</v>
      </c>
      <c r="G252" s="9">
        <v>0</v>
      </c>
      <c r="H252" s="7" t="s">
        <v>1041</v>
      </c>
      <c r="I252" s="7" t="s">
        <v>1438</v>
      </c>
    </row>
    <row r="253" spans="1:9" ht="102" x14ac:dyDescent="0.25">
      <c r="A253" s="32" t="s">
        <v>930</v>
      </c>
      <c r="B253" s="31" t="s">
        <v>929</v>
      </c>
      <c r="C253" s="31" t="s">
        <v>553</v>
      </c>
      <c r="D253" s="31" t="s">
        <v>1543</v>
      </c>
      <c r="E253" s="31">
        <v>14</v>
      </c>
      <c r="F253" s="31">
        <v>14</v>
      </c>
      <c r="G253" s="9">
        <v>0</v>
      </c>
      <c r="H253" s="7" t="s">
        <v>1039</v>
      </c>
      <c r="I253" s="7" t="s">
        <v>1438</v>
      </c>
    </row>
    <row r="254" spans="1:9" ht="127.5" x14ac:dyDescent="0.25">
      <c r="A254" s="32" t="s">
        <v>930</v>
      </c>
      <c r="B254" s="31" t="s">
        <v>929</v>
      </c>
      <c r="C254" s="31" t="s">
        <v>553</v>
      </c>
      <c r="D254" s="31" t="s">
        <v>1543</v>
      </c>
      <c r="E254" s="31">
        <v>17</v>
      </c>
      <c r="F254" s="31">
        <v>17</v>
      </c>
      <c r="G254" s="9">
        <v>0</v>
      </c>
      <c r="H254" s="7" t="s">
        <v>1038</v>
      </c>
      <c r="I254" s="7" t="s">
        <v>1438</v>
      </c>
    </row>
    <row r="255" spans="1:9" ht="306" x14ac:dyDescent="0.25">
      <c r="A255" s="32" t="s">
        <v>930</v>
      </c>
      <c r="B255" s="31" t="s">
        <v>929</v>
      </c>
      <c r="C255" s="31" t="s">
        <v>553</v>
      </c>
      <c r="D255" s="31" t="s">
        <v>1543</v>
      </c>
      <c r="E255" s="31">
        <v>22</v>
      </c>
      <c r="F255" s="31">
        <v>23</v>
      </c>
      <c r="G255" s="9">
        <v>0</v>
      </c>
      <c r="H255" s="7" t="s">
        <v>1037</v>
      </c>
      <c r="I255" s="7" t="s">
        <v>1438</v>
      </c>
    </row>
    <row r="256" spans="1:9" ht="127.5" x14ac:dyDescent="0.25">
      <c r="A256" s="32" t="s">
        <v>930</v>
      </c>
      <c r="B256" s="31" t="s">
        <v>929</v>
      </c>
      <c r="C256" s="31" t="s">
        <v>553</v>
      </c>
      <c r="D256" s="31" t="s">
        <v>1543</v>
      </c>
      <c r="E256" s="31">
        <v>27</v>
      </c>
      <c r="F256" s="31">
        <v>27</v>
      </c>
      <c r="G256" s="9">
        <v>0</v>
      </c>
      <c r="H256" s="7" t="s">
        <v>1036</v>
      </c>
      <c r="I256" s="7" t="s">
        <v>1438</v>
      </c>
    </row>
    <row r="257" spans="1:9" ht="153" x14ac:dyDescent="0.25">
      <c r="A257" s="32" t="s">
        <v>930</v>
      </c>
      <c r="B257" s="31" t="s">
        <v>929</v>
      </c>
      <c r="C257" s="31" t="s">
        <v>553</v>
      </c>
      <c r="D257" s="31" t="s">
        <v>1543</v>
      </c>
      <c r="E257" s="31">
        <v>31</v>
      </c>
      <c r="F257" s="31">
        <v>31</v>
      </c>
      <c r="G257" s="9">
        <v>0</v>
      </c>
      <c r="H257" s="7" t="s">
        <v>1035</v>
      </c>
      <c r="I257" s="7" t="s">
        <v>1438</v>
      </c>
    </row>
    <row r="258" spans="1:9" ht="242.25" x14ac:dyDescent="0.25">
      <c r="A258" s="32" t="s">
        <v>930</v>
      </c>
      <c r="B258" s="31" t="s">
        <v>929</v>
      </c>
      <c r="C258" s="31" t="s">
        <v>693</v>
      </c>
      <c r="D258" s="31" t="s">
        <v>1543</v>
      </c>
      <c r="E258" s="31">
        <v>21</v>
      </c>
      <c r="F258" s="31">
        <v>22</v>
      </c>
      <c r="G258" s="9">
        <v>0</v>
      </c>
      <c r="H258" s="7" t="s">
        <v>1030</v>
      </c>
      <c r="I258" s="7" t="s">
        <v>1438</v>
      </c>
    </row>
    <row r="259" spans="1:9" ht="153" x14ac:dyDescent="0.25">
      <c r="A259" s="32" t="s">
        <v>930</v>
      </c>
      <c r="B259" s="31" t="s">
        <v>929</v>
      </c>
      <c r="C259" s="31" t="s">
        <v>693</v>
      </c>
      <c r="D259" s="31" t="s">
        <v>1543</v>
      </c>
      <c r="E259" s="31">
        <v>35</v>
      </c>
      <c r="F259" s="31">
        <v>35</v>
      </c>
      <c r="G259" s="9">
        <v>0</v>
      </c>
      <c r="H259" s="7" t="s">
        <v>1027</v>
      </c>
      <c r="I259" s="7" t="s">
        <v>1438</v>
      </c>
    </row>
    <row r="260" spans="1:9" ht="140.25" x14ac:dyDescent="0.25">
      <c r="A260" s="32" t="s">
        <v>930</v>
      </c>
      <c r="B260" s="31" t="s">
        <v>929</v>
      </c>
      <c r="C260" s="31" t="s">
        <v>199</v>
      </c>
      <c r="D260" s="31" t="s">
        <v>1543</v>
      </c>
      <c r="E260" s="31">
        <v>9</v>
      </c>
      <c r="F260" s="31">
        <v>9</v>
      </c>
      <c r="G260" s="9">
        <v>0</v>
      </c>
      <c r="H260" s="7" t="s">
        <v>1025</v>
      </c>
      <c r="I260" s="7" t="s">
        <v>1438</v>
      </c>
    </row>
    <row r="261" spans="1:9" ht="165.75" x14ac:dyDescent="0.25">
      <c r="A261" s="32" t="s">
        <v>930</v>
      </c>
      <c r="B261" s="31" t="s">
        <v>929</v>
      </c>
      <c r="C261" s="31" t="s">
        <v>199</v>
      </c>
      <c r="D261" s="31" t="s">
        <v>1543</v>
      </c>
      <c r="E261" s="31">
        <v>10</v>
      </c>
      <c r="F261" s="31">
        <v>10</v>
      </c>
      <c r="G261" s="9">
        <v>0</v>
      </c>
      <c r="H261" s="7" t="s">
        <v>1024</v>
      </c>
      <c r="I261" s="7" t="s">
        <v>1438</v>
      </c>
    </row>
    <row r="262" spans="1:9" ht="102" x14ac:dyDescent="0.25">
      <c r="A262" s="32" t="s">
        <v>930</v>
      </c>
      <c r="B262" s="31" t="s">
        <v>929</v>
      </c>
      <c r="C262" s="31" t="s">
        <v>199</v>
      </c>
      <c r="D262" s="31" t="s">
        <v>1543</v>
      </c>
      <c r="E262" s="31">
        <v>13</v>
      </c>
      <c r="F262" s="31">
        <v>13</v>
      </c>
      <c r="G262" s="9">
        <v>0</v>
      </c>
      <c r="H262" s="7" t="s">
        <v>1023</v>
      </c>
      <c r="I262" s="7" t="s">
        <v>1438</v>
      </c>
    </row>
    <row r="263" spans="1:9" ht="102" x14ac:dyDescent="0.25">
      <c r="A263" s="32" t="s">
        <v>930</v>
      </c>
      <c r="B263" s="31" t="s">
        <v>929</v>
      </c>
      <c r="C263" s="31" t="s">
        <v>199</v>
      </c>
      <c r="D263" s="31" t="s">
        <v>1543</v>
      </c>
      <c r="E263" s="31">
        <v>16</v>
      </c>
      <c r="F263" s="31">
        <v>16</v>
      </c>
      <c r="G263" s="9">
        <v>0</v>
      </c>
      <c r="H263" s="7" t="s">
        <v>1022</v>
      </c>
      <c r="I263" s="7" t="s">
        <v>1438</v>
      </c>
    </row>
    <row r="264" spans="1:9" ht="153" x14ac:dyDescent="0.25">
      <c r="A264" s="32" t="s">
        <v>930</v>
      </c>
      <c r="B264" s="31" t="s">
        <v>929</v>
      </c>
      <c r="C264" s="31" t="s">
        <v>199</v>
      </c>
      <c r="D264" s="31" t="s">
        <v>1543</v>
      </c>
      <c r="E264" s="31">
        <v>17</v>
      </c>
      <c r="F264" s="31">
        <v>17</v>
      </c>
      <c r="G264" s="9">
        <v>0</v>
      </c>
      <c r="H264" s="7" t="s">
        <v>1021</v>
      </c>
      <c r="I264" s="7" t="s">
        <v>1438</v>
      </c>
    </row>
    <row r="265" spans="1:9" ht="216.75" x14ac:dyDescent="0.25">
      <c r="A265" s="32" t="s">
        <v>930</v>
      </c>
      <c r="B265" s="31" t="s">
        <v>929</v>
      </c>
      <c r="C265" s="31" t="s">
        <v>199</v>
      </c>
      <c r="D265" s="31" t="s">
        <v>1543</v>
      </c>
      <c r="E265" s="31">
        <v>20</v>
      </c>
      <c r="F265" s="31">
        <v>21</v>
      </c>
      <c r="G265" s="9">
        <v>0</v>
      </c>
      <c r="H265" s="7" t="s">
        <v>1020</v>
      </c>
      <c r="I265" s="7" t="s">
        <v>1438</v>
      </c>
    </row>
    <row r="266" spans="1:9" ht="255" x14ac:dyDescent="0.25">
      <c r="A266" s="32" t="s">
        <v>930</v>
      </c>
      <c r="B266" s="31" t="s">
        <v>929</v>
      </c>
      <c r="C266" s="31" t="s">
        <v>199</v>
      </c>
      <c r="D266" s="31" t="s">
        <v>1543</v>
      </c>
      <c r="E266" s="31">
        <v>25</v>
      </c>
      <c r="F266" s="31">
        <v>27</v>
      </c>
      <c r="G266" s="9">
        <v>0</v>
      </c>
      <c r="H266" s="7" t="s">
        <v>1019</v>
      </c>
      <c r="I266" s="7" t="s">
        <v>1438</v>
      </c>
    </row>
    <row r="267" spans="1:9" ht="63.75" x14ac:dyDescent="0.25">
      <c r="A267" s="32" t="s">
        <v>930</v>
      </c>
      <c r="B267" s="31" t="s">
        <v>929</v>
      </c>
      <c r="C267" s="31" t="s">
        <v>199</v>
      </c>
      <c r="D267" s="31" t="s">
        <v>1543</v>
      </c>
      <c r="E267" s="31">
        <v>30</v>
      </c>
      <c r="F267" s="31">
        <v>30</v>
      </c>
      <c r="G267" s="9">
        <v>0</v>
      </c>
      <c r="H267" s="7" t="s">
        <v>1018</v>
      </c>
      <c r="I267" s="7" t="s">
        <v>1438</v>
      </c>
    </row>
    <row r="268" spans="1:9" ht="102" x14ac:dyDescent="0.25">
      <c r="A268" s="32" t="s">
        <v>930</v>
      </c>
      <c r="B268" s="31" t="s">
        <v>929</v>
      </c>
      <c r="C268" s="31" t="s">
        <v>199</v>
      </c>
      <c r="D268" s="31" t="s">
        <v>1543</v>
      </c>
      <c r="E268" s="31">
        <v>34</v>
      </c>
      <c r="F268" s="31">
        <v>34</v>
      </c>
      <c r="G268" s="9">
        <v>0</v>
      </c>
      <c r="H268" s="7" t="s">
        <v>1017</v>
      </c>
      <c r="I268" s="7" t="s">
        <v>1438</v>
      </c>
    </row>
    <row r="269" spans="1:9" ht="153" x14ac:dyDescent="0.25">
      <c r="A269" s="32" t="s">
        <v>930</v>
      </c>
      <c r="B269" s="31" t="s">
        <v>929</v>
      </c>
      <c r="C269" s="31" t="s">
        <v>199</v>
      </c>
      <c r="D269" s="31" t="s">
        <v>1543</v>
      </c>
      <c r="E269" s="31">
        <v>35</v>
      </c>
      <c r="F269" s="31">
        <v>35</v>
      </c>
      <c r="G269" s="9">
        <v>0</v>
      </c>
      <c r="H269" s="7" t="s">
        <v>1016</v>
      </c>
      <c r="I269" s="7" t="s">
        <v>1438</v>
      </c>
    </row>
    <row r="270" spans="1:9" ht="127.5" x14ac:dyDescent="0.25">
      <c r="A270" s="32" t="s">
        <v>930</v>
      </c>
      <c r="B270" s="31" t="s">
        <v>929</v>
      </c>
      <c r="C270" s="31" t="s">
        <v>199</v>
      </c>
      <c r="D270" s="31" t="s">
        <v>1543</v>
      </c>
      <c r="E270" s="31">
        <v>36</v>
      </c>
      <c r="F270" s="31">
        <v>36</v>
      </c>
      <c r="G270" s="9">
        <v>0</v>
      </c>
      <c r="H270" s="7" t="s">
        <v>1015</v>
      </c>
      <c r="I270" s="7" t="s">
        <v>1438</v>
      </c>
    </row>
    <row r="271" spans="1:9" ht="127.5" x14ac:dyDescent="0.25">
      <c r="A271" s="32" t="s">
        <v>930</v>
      </c>
      <c r="B271" s="31" t="s">
        <v>929</v>
      </c>
      <c r="C271" s="31" t="s">
        <v>224</v>
      </c>
      <c r="D271" s="31" t="s">
        <v>1543</v>
      </c>
      <c r="E271" s="31">
        <v>8</v>
      </c>
      <c r="F271" s="31">
        <v>8</v>
      </c>
      <c r="G271" s="9">
        <v>0</v>
      </c>
      <c r="H271" s="7" t="s">
        <v>1666</v>
      </c>
      <c r="I271" s="7" t="s">
        <v>1438</v>
      </c>
    </row>
    <row r="272" spans="1:9" ht="76.5" x14ac:dyDescent="0.25">
      <c r="A272" s="32" t="s">
        <v>930</v>
      </c>
      <c r="B272" s="31" t="s">
        <v>929</v>
      </c>
      <c r="C272" s="31" t="s">
        <v>224</v>
      </c>
      <c r="D272" s="31" t="s">
        <v>1543</v>
      </c>
      <c r="E272" s="31">
        <v>9</v>
      </c>
      <c r="F272" s="31">
        <v>9</v>
      </c>
      <c r="G272" s="9">
        <v>0</v>
      </c>
      <c r="H272" s="7" t="s">
        <v>1013</v>
      </c>
      <c r="I272" s="7" t="s">
        <v>1438</v>
      </c>
    </row>
    <row r="273" spans="1:9" ht="89.25" x14ac:dyDescent="0.25">
      <c r="A273" s="32" t="s">
        <v>930</v>
      </c>
      <c r="B273" s="31" t="s">
        <v>929</v>
      </c>
      <c r="C273" s="31" t="s">
        <v>224</v>
      </c>
      <c r="D273" s="31" t="s">
        <v>1543</v>
      </c>
      <c r="E273" s="31">
        <v>10</v>
      </c>
      <c r="F273" s="31">
        <v>10</v>
      </c>
      <c r="G273" s="9">
        <v>0</v>
      </c>
      <c r="H273" s="7" t="s">
        <v>1012</v>
      </c>
      <c r="I273" s="7" t="s">
        <v>1438</v>
      </c>
    </row>
    <row r="274" spans="1:9" ht="89.25" x14ac:dyDescent="0.25">
      <c r="A274" s="32" t="s">
        <v>930</v>
      </c>
      <c r="B274" s="31" t="s">
        <v>929</v>
      </c>
      <c r="C274" s="31" t="s">
        <v>454</v>
      </c>
      <c r="D274" s="31" t="s">
        <v>1543</v>
      </c>
      <c r="E274" s="31">
        <v>6</v>
      </c>
      <c r="F274" s="31">
        <v>6</v>
      </c>
      <c r="G274" s="9">
        <v>0</v>
      </c>
      <c r="H274" s="7" t="s">
        <v>1001</v>
      </c>
      <c r="I274" s="7" t="s">
        <v>1438</v>
      </c>
    </row>
    <row r="275" spans="1:9" ht="114.75" x14ac:dyDescent="0.25">
      <c r="A275" s="32" t="s">
        <v>930</v>
      </c>
      <c r="B275" s="31" t="s">
        <v>929</v>
      </c>
      <c r="C275" s="31" t="s">
        <v>454</v>
      </c>
      <c r="D275" s="31" t="s">
        <v>1543</v>
      </c>
      <c r="E275" s="31">
        <v>11</v>
      </c>
      <c r="F275" s="31">
        <v>11</v>
      </c>
      <c r="G275" s="9">
        <v>0</v>
      </c>
      <c r="H275" s="7" t="s">
        <v>1000</v>
      </c>
      <c r="I275" s="7" t="s">
        <v>1438</v>
      </c>
    </row>
    <row r="276" spans="1:9" ht="140.25" x14ac:dyDescent="0.25">
      <c r="A276" s="32" t="s">
        <v>930</v>
      </c>
      <c r="B276" s="31" t="s">
        <v>929</v>
      </c>
      <c r="C276" s="31" t="s">
        <v>454</v>
      </c>
      <c r="D276" s="31" t="s">
        <v>1543</v>
      </c>
      <c r="E276" s="31">
        <v>15</v>
      </c>
      <c r="F276" s="31">
        <v>15</v>
      </c>
      <c r="G276" s="9">
        <v>0</v>
      </c>
      <c r="H276" s="7" t="s">
        <v>999</v>
      </c>
      <c r="I276" s="7" t="s">
        <v>1438</v>
      </c>
    </row>
    <row r="277" spans="1:9" ht="255" x14ac:dyDescent="0.25">
      <c r="A277" s="32" t="s">
        <v>930</v>
      </c>
      <c r="B277" s="31" t="s">
        <v>929</v>
      </c>
      <c r="C277" s="31" t="s">
        <v>454</v>
      </c>
      <c r="D277" s="31" t="s">
        <v>1543</v>
      </c>
      <c r="E277" s="31">
        <v>21</v>
      </c>
      <c r="F277" s="31">
        <v>23</v>
      </c>
      <c r="G277" s="9">
        <v>0</v>
      </c>
      <c r="H277" s="7" t="s">
        <v>998</v>
      </c>
      <c r="I277" s="7" t="s">
        <v>1438</v>
      </c>
    </row>
    <row r="278" spans="1:9" ht="255" x14ac:dyDescent="0.25">
      <c r="A278" s="32" t="s">
        <v>930</v>
      </c>
      <c r="B278" s="31" t="s">
        <v>929</v>
      </c>
      <c r="C278" s="31" t="s">
        <v>454</v>
      </c>
      <c r="D278" s="31" t="s">
        <v>1543</v>
      </c>
      <c r="E278" s="31">
        <v>29</v>
      </c>
      <c r="F278" s="31">
        <v>31</v>
      </c>
      <c r="G278" s="9">
        <v>0</v>
      </c>
      <c r="H278" s="7" t="s">
        <v>997</v>
      </c>
      <c r="I278" s="7" t="s">
        <v>1438</v>
      </c>
    </row>
    <row r="279" spans="1:9" ht="395.25" x14ac:dyDescent="0.25">
      <c r="A279" s="32" t="s">
        <v>930</v>
      </c>
      <c r="B279" s="31" t="s">
        <v>929</v>
      </c>
      <c r="C279" s="31" t="s">
        <v>664</v>
      </c>
      <c r="D279" s="31" t="s">
        <v>1543</v>
      </c>
      <c r="E279" s="31">
        <v>18</v>
      </c>
      <c r="F279" s="31">
        <v>21</v>
      </c>
      <c r="G279" s="9">
        <v>0</v>
      </c>
      <c r="H279" s="7" t="s">
        <v>985</v>
      </c>
      <c r="I279" s="7" t="s">
        <v>1438</v>
      </c>
    </row>
    <row r="280" spans="1:9" ht="114.75" x14ac:dyDescent="0.25">
      <c r="A280" s="32" t="s">
        <v>930</v>
      </c>
      <c r="B280" s="31" t="s">
        <v>929</v>
      </c>
      <c r="C280" s="31" t="s">
        <v>295</v>
      </c>
      <c r="D280" s="31" t="s">
        <v>1543</v>
      </c>
      <c r="E280" s="31">
        <v>9</v>
      </c>
      <c r="F280" s="31">
        <v>9</v>
      </c>
      <c r="G280" s="9">
        <v>0</v>
      </c>
      <c r="H280" s="7" t="s">
        <v>981</v>
      </c>
      <c r="I280" s="7" t="s">
        <v>1438</v>
      </c>
    </row>
    <row r="281" spans="1:9" ht="76.5" x14ac:dyDescent="0.25">
      <c r="A281" s="32" t="s">
        <v>930</v>
      </c>
      <c r="B281" s="31" t="s">
        <v>929</v>
      </c>
      <c r="C281" s="31" t="s">
        <v>574</v>
      </c>
      <c r="D281" s="31" t="s">
        <v>1543</v>
      </c>
      <c r="E281" s="31">
        <v>5</v>
      </c>
      <c r="F281" s="31">
        <v>5</v>
      </c>
      <c r="G281" s="9">
        <v>0</v>
      </c>
      <c r="H281" s="7" t="s">
        <v>975</v>
      </c>
      <c r="I281" s="7" t="s">
        <v>1438</v>
      </c>
    </row>
    <row r="282" spans="1:9" ht="408" x14ac:dyDescent="0.25">
      <c r="A282" s="32" t="s">
        <v>930</v>
      </c>
      <c r="B282" s="31" t="s">
        <v>929</v>
      </c>
      <c r="C282" s="31" t="s">
        <v>574</v>
      </c>
      <c r="D282" s="31" t="s">
        <v>1543</v>
      </c>
      <c r="E282" s="31">
        <v>8</v>
      </c>
      <c r="F282" s="31">
        <v>11</v>
      </c>
      <c r="G282" s="9">
        <v>0</v>
      </c>
      <c r="H282" s="7" t="s">
        <v>974</v>
      </c>
      <c r="I282" s="7" t="s">
        <v>1438</v>
      </c>
    </row>
    <row r="283" spans="1:9" ht="76.5" x14ac:dyDescent="0.25">
      <c r="A283" s="32" t="s">
        <v>930</v>
      </c>
      <c r="B283" s="31" t="s">
        <v>929</v>
      </c>
      <c r="C283" s="31" t="s">
        <v>574</v>
      </c>
      <c r="D283" s="31" t="s">
        <v>1543</v>
      </c>
      <c r="E283" s="31">
        <v>16</v>
      </c>
      <c r="F283" s="31">
        <v>16</v>
      </c>
      <c r="G283" s="9">
        <v>0</v>
      </c>
      <c r="H283" s="7" t="s">
        <v>973</v>
      </c>
      <c r="I283" s="7" t="s">
        <v>1438</v>
      </c>
    </row>
    <row r="284" spans="1:9" ht="127.5" x14ac:dyDescent="0.25">
      <c r="A284" s="32" t="s">
        <v>930</v>
      </c>
      <c r="B284" s="31" t="s">
        <v>929</v>
      </c>
      <c r="C284" s="31" t="s">
        <v>574</v>
      </c>
      <c r="D284" s="31" t="s">
        <v>1543</v>
      </c>
      <c r="E284" s="31">
        <v>19</v>
      </c>
      <c r="F284" s="31">
        <v>19</v>
      </c>
      <c r="G284" s="9">
        <v>0</v>
      </c>
      <c r="H284" s="7" t="s">
        <v>971</v>
      </c>
      <c r="I284" s="7" t="s">
        <v>1438</v>
      </c>
    </row>
    <row r="285" spans="1:9" ht="267.75" x14ac:dyDescent="0.25">
      <c r="A285" s="32" t="s">
        <v>930</v>
      </c>
      <c r="B285" s="31" t="s">
        <v>929</v>
      </c>
      <c r="C285" s="31" t="s">
        <v>574</v>
      </c>
      <c r="D285" s="31" t="s">
        <v>1543</v>
      </c>
      <c r="E285" s="31">
        <v>23</v>
      </c>
      <c r="F285" s="31">
        <v>24</v>
      </c>
      <c r="G285" s="9">
        <v>0</v>
      </c>
      <c r="H285" s="7" t="s">
        <v>970</v>
      </c>
      <c r="I285" s="7" t="s">
        <v>1438</v>
      </c>
    </row>
    <row r="286" spans="1:9" ht="306" x14ac:dyDescent="0.25">
      <c r="A286" s="32" t="s">
        <v>930</v>
      </c>
      <c r="B286" s="31" t="s">
        <v>929</v>
      </c>
      <c r="C286" s="31" t="s">
        <v>574</v>
      </c>
      <c r="D286" s="31" t="s">
        <v>1543</v>
      </c>
      <c r="E286" s="31">
        <v>26</v>
      </c>
      <c r="F286" s="31">
        <v>28</v>
      </c>
      <c r="G286" s="9">
        <v>0</v>
      </c>
      <c r="H286" s="7" t="s">
        <v>969</v>
      </c>
      <c r="I286" s="7" t="s">
        <v>1438</v>
      </c>
    </row>
    <row r="287" spans="1:9" ht="38.25" x14ac:dyDescent="0.25">
      <c r="A287" s="32" t="s">
        <v>930</v>
      </c>
      <c r="B287" s="31" t="s">
        <v>929</v>
      </c>
      <c r="C287" s="31" t="s">
        <v>511</v>
      </c>
      <c r="D287" s="31" t="s">
        <v>1543</v>
      </c>
      <c r="E287" s="31">
        <v>4</v>
      </c>
      <c r="F287" s="31">
        <v>4</v>
      </c>
      <c r="G287" s="9">
        <v>0</v>
      </c>
      <c r="H287" s="7" t="s">
        <v>960</v>
      </c>
      <c r="I287" s="7" t="s">
        <v>1438</v>
      </c>
    </row>
    <row r="288" spans="1:9" ht="153" x14ac:dyDescent="0.25">
      <c r="A288" s="32" t="s">
        <v>930</v>
      </c>
      <c r="B288" s="31" t="s">
        <v>929</v>
      </c>
      <c r="C288" s="31" t="s">
        <v>511</v>
      </c>
      <c r="D288" s="31" t="s">
        <v>1543</v>
      </c>
      <c r="E288" s="31">
        <v>14</v>
      </c>
      <c r="F288" s="31">
        <v>14</v>
      </c>
      <c r="G288" s="9">
        <v>0</v>
      </c>
      <c r="H288" s="7" t="s">
        <v>958</v>
      </c>
      <c r="I288" s="7" t="s">
        <v>1438</v>
      </c>
    </row>
    <row r="289" spans="1:9" ht="153" x14ac:dyDescent="0.25">
      <c r="A289" s="32" t="s">
        <v>930</v>
      </c>
      <c r="B289" s="31" t="s">
        <v>929</v>
      </c>
      <c r="C289" s="31" t="s">
        <v>511</v>
      </c>
      <c r="D289" s="31" t="s">
        <v>1543</v>
      </c>
      <c r="E289" s="31">
        <v>18</v>
      </c>
      <c r="F289" s="31">
        <v>18</v>
      </c>
      <c r="G289" s="9">
        <v>0</v>
      </c>
      <c r="H289" s="7" t="s">
        <v>957</v>
      </c>
      <c r="I289" s="7" t="s">
        <v>1438</v>
      </c>
    </row>
    <row r="290" spans="1:9" ht="178.5" x14ac:dyDescent="0.25">
      <c r="A290" s="32" t="s">
        <v>930</v>
      </c>
      <c r="B290" s="31" t="s">
        <v>929</v>
      </c>
      <c r="C290" s="31" t="s">
        <v>511</v>
      </c>
      <c r="D290" s="31" t="s">
        <v>1543</v>
      </c>
      <c r="E290" s="31">
        <v>22</v>
      </c>
      <c r="F290" s="31">
        <v>23</v>
      </c>
      <c r="G290" s="9">
        <v>0</v>
      </c>
      <c r="H290" s="7" t="s">
        <v>956</v>
      </c>
      <c r="I290" s="7" t="s">
        <v>1438</v>
      </c>
    </row>
    <row r="291" spans="1:9" ht="153" x14ac:dyDescent="0.25">
      <c r="A291" s="32" t="s">
        <v>930</v>
      </c>
      <c r="B291" s="31" t="s">
        <v>929</v>
      </c>
      <c r="C291" s="31" t="s">
        <v>543</v>
      </c>
      <c r="D291" s="31" t="s">
        <v>1543</v>
      </c>
      <c r="E291" s="31">
        <v>13</v>
      </c>
      <c r="F291" s="31">
        <v>13</v>
      </c>
      <c r="G291" s="9">
        <v>0</v>
      </c>
      <c r="H291" s="7" t="s">
        <v>954</v>
      </c>
      <c r="I291" s="7" t="s">
        <v>1438</v>
      </c>
    </row>
    <row r="292" spans="1:9" ht="216.75" x14ac:dyDescent="0.25">
      <c r="A292" s="32" t="s">
        <v>930</v>
      </c>
      <c r="B292" s="31" t="s">
        <v>929</v>
      </c>
      <c r="C292" s="31" t="s">
        <v>543</v>
      </c>
      <c r="D292" s="31" t="s">
        <v>1543</v>
      </c>
      <c r="E292" s="31">
        <v>21</v>
      </c>
      <c r="F292" s="31">
        <v>21</v>
      </c>
      <c r="G292" s="9">
        <v>0</v>
      </c>
      <c r="H292" s="7" t="s">
        <v>953</v>
      </c>
      <c r="I292" s="7" t="s">
        <v>1438</v>
      </c>
    </row>
    <row r="293" spans="1:9" ht="216.75" x14ac:dyDescent="0.25">
      <c r="A293" s="32" t="s">
        <v>930</v>
      </c>
      <c r="B293" s="31" t="s">
        <v>929</v>
      </c>
      <c r="C293" s="31" t="s">
        <v>543</v>
      </c>
      <c r="D293" s="31" t="s">
        <v>1543</v>
      </c>
      <c r="E293" s="31">
        <v>25</v>
      </c>
      <c r="F293" s="31">
        <v>26</v>
      </c>
      <c r="G293" s="9">
        <v>0</v>
      </c>
      <c r="H293" s="7" t="s">
        <v>951</v>
      </c>
      <c r="I293" s="7" t="s">
        <v>1438</v>
      </c>
    </row>
    <row r="294" spans="1:9" ht="293.25" x14ac:dyDescent="0.25">
      <c r="A294" s="32" t="s">
        <v>930</v>
      </c>
      <c r="B294" s="31" t="s">
        <v>929</v>
      </c>
      <c r="C294" s="31" t="s">
        <v>543</v>
      </c>
      <c r="D294" s="31" t="s">
        <v>1543</v>
      </c>
      <c r="E294" s="31">
        <v>29</v>
      </c>
      <c r="F294" s="31">
        <v>30</v>
      </c>
      <c r="G294" s="9">
        <v>0</v>
      </c>
      <c r="H294" s="7" t="s">
        <v>950</v>
      </c>
      <c r="I294" s="7" t="s">
        <v>1438</v>
      </c>
    </row>
    <row r="295" spans="1:9" ht="242.25" x14ac:dyDescent="0.25">
      <c r="A295" s="32" t="s">
        <v>930</v>
      </c>
      <c r="B295" s="31" t="s">
        <v>929</v>
      </c>
      <c r="C295" s="31" t="s">
        <v>543</v>
      </c>
      <c r="D295" s="31" t="s">
        <v>1543</v>
      </c>
      <c r="E295" s="31">
        <v>33</v>
      </c>
      <c r="F295" s="31">
        <v>34</v>
      </c>
      <c r="G295" s="9">
        <v>0</v>
      </c>
      <c r="H295" s="7" t="s">
        <v>949</v>
      </c>
      <c r="I295" s="7" t="s">
        <v>1438</v>
      </c>
    </row>
    <row r="296" spans="1:9" ht="191.25" x14ac:dyDescent="0.25">
      <c r="A296" s="32" t="s">
        <v>930</v>
      </c>
      <c r="B296" s="31" t="s">
        <v>929</v>
      </c>
      <c r="C296" s="31" t="s">
        <v>543</v>
      </c>
      <c r="D296" s="31" t="s">
        <v>1543</v>
      </c>
      <c r="E296" s="31">
        <v>42</v>
      </c>
      <c r="F296" s="31">
        <v>42</v>
      </c>
      <c r="G296" s="9">
        <v>0</v>
      </c>
      <c r="H296" s="7" t="s">
        <v>948</v>
      </c>
      <c r="I296" s="7" t="s">
        <v>1438</v>
      </c>
    </row>
    <row r="297" spans="1:9" ht="102" x14ac:dyDescent="0.25">
      <c r="A297" s="32" t="s">
        <v>930</v>
      </c>
      <c r="B297" s="31" t="s">
        <v>929</v>
      </c>
      <c r="C297" s="31" t="s">
        <v>374</v>
      </c>
      <c r="D297" s="31" t="s">
        <v>1543</v>
      </c>
      <c r="E297" s="31">
        <v>8</v>
      </c>
      <c r="F297" s="31">
        <v>8</v>
      </c>
      <c r="G297" s="9">
        <v>0</v>
      </c>
      <c r="H297" s="7" t="s">
        <v>946</v>
      </c>
      <c r="I297" s="7" t="s">
        <v>1438</v>
      </c>
    </row>
    <row r="298" spans="1:9" ht="127.5" x14ac:dyDescent="0.25">
      <c r="A298" s="32" t="s">
        <v>930</v>
      </c>
      <c r="B298" s="31" t="s">
        <v>929</v>
      </c>
      <c r="C298" s="31" t="s">
        <v>374</v>
      </c>
      <c r="D298" s="31" t="s">
        <v>1543</v>
      </c>
      <c r="E298" s="31">
        <v>15</v>
      </c>
      <c r="F298" s="31">
        <v>15</v>
      </c>
      <c r="G298" s="9">
        <v>0</v>
      </c>
      <c r="H298" s="7" t="s">
        <v>943</v>
      </c>
      <c r="I298" s="7" t="s">
        <v>1438</v>
      </c>
    </row>
    <row r="299" spans="1:9" ht="229.5" x14ac:dyDescent="0.25">
      <c r="A299" s="32" t="s">
        <v>930</v>
      </c>
      <c r="B299" s="31" t="s">
        <v>929</v>
      </c>
      <c r="C299" s="31" t="s">
        <v>374</v>
      </c>
      <c r="D299" s="31" t="s">
        <v>1543</v>
      </c>
      <c r="E299" s="31">
        <v>35</v>
      </c>
      <c r="F299" s="31">
        <v>36</v>
      </c>
      <c r="G299" s="9">
        <v>0</v>
      </c>
      <c r="H299" s="7" t="s">
        <v>939</v>
      </c>
      <c r="I299" s="7" t="s">
        <v>1438</v>
      </c>
    </row>
    <row r="300" spans="1:9" ht="191.25" x14ac:dyDescent="0.25">
      <c r="A300" s="32" t="s">
        <v>930</v>
      </c>
      <c r="B300" s="31" t="s">
        <v>929</v>
      </c>
      <c r="C300" s="31" t="s">
        <v>654</v>
      </c>
      <c r="D300" s="31" t="s">
        <v>1543</v>
      </c>
      <c r="E300" s="31">
        <v>6</v>
      </c>
      <c r="F300" s="31">
        <v>6</v>
      </c>
      <c r="G300" s="9">
        <v>0</v>
      </c>
      <c r="H300" s="7" t="s">
        <v>938</v>
      </c>
      <c r="I300" s="7" t="s">
        <v>1438</v>
      </c>
    </row>
    <row r="301" spans="1:9" ht="409.5" x14ac:dyDescent="0.25">
      <c r="A301" s="32" t="s">
        <v>930</v>
      </c>
      <c r="B301" s="31" t="s">
        <v>929</v>
      </c>
      <c r="C301" s="31" t="s">
        <v>654</v>
      </c>
      <c r="D301" s="31" t="s">
        <v>1543</v>
      </c>
      <c r="E301" s="31">
        <v>9</v>
      </c>
      <c r="F301" s="31">
        <v>12</v>
      </c>
      <c r="G301" s="9">
        <v>0</v>
      </c>
      <c r="H301" s="7" t="s">
        <v>936</v>
      </c>
      <c r="I301" s="7" t="s">
        <v>1438</v>
      </c>
    </row>
    <row r="302" spans="1:9" ht="102" x14ac:dyDescent="0.25">
      <c r="A302" s="32" t="s">
        <v>930</v>
      </c>
      <c r="B302" s="31" t="s">
        <v>929</v>
      </c>
      <c r="C302" s="31" t="s">
        <v>654</v>
      </c>
      <c r="D302" s="31" t="s">
        <v>1543</v>
      </c>
      <c r="E302" s="31">
        <v>21</v>
      </c>
      <c r="F302" s="31">
        <v>21</v>
      </c>
      <c r="G302" s="9">
        <v>0</v>
      </c>
      <c r="H302" s="7" t="s">
        <v>935</v>
      </c>
      <c r="I302" s="7" t="s">
        <v>1438</v>
      </c>
    </row>
    <row r="303" spans="1:9" ht="102" x14ac:dyDescent="0.25">
      <c r="A303" s="32" t="s">
        <v>930</v>
      </c>
      <c r="B303" s="31" t="s">
        <v>929</v>
      </c>
      <c r="C303" s="31" t="s">
        <v>654</v>
      </c>
      <c r="D303" s="31" t="s">
        <v>1543</v>
      </c>
      <c r="E303" s="31">
        <v>27</v>
      </c>
      <c r="F303" s="31">
        <v>27</v>
      </c>
      <c r="G303" s="9">
        <v>0</v>
      </c>
      <c r="H303" s="7" t="s">
        <v>933</v>
      </c>
      <c r="I303" s="7" t="s">
        <v>1438</v>
      </c>
    </row>
    <row r="304" spans="1:9" ht="76.5" x14ac:dyDescent="0.25">
      <c r="A304" s="32" t="s">
        <v>930</v>
      </c>
      <c r="B304" s="31" t="s">
        <v>929</v>
      </c>
      <c r="C304" s="31" t="s">
        <v>654</v>
      </c>
      <c r="D304" s="31" t="s">
        <v>1543</v>
      </c>
      <c r="E304" s="31">
        <v>31</v>
      </c>
      <c r="F304" s="31">
        <v>31</v>
      </c>
      <c r="G304" s="9">
        <v>0</v>
      </c>
      <c r="H304" s="7" t="s">
        <v>932</v>
      </c>
      <c r="I304" s="7" t="s">
        <v>1438</v>
      </c>
    </row>
    <row r="305" spans="1:9" ht="63.75" x14ac:dyDescent="0.25">
      <c r="A305" s="32" t="s">
        <v>930</v>
      </c>
      <c r="B305" s="31" t="s">
        <v>929</v>
      </c>
      <c r="C305" s="31" t="s">
        <v>918</v>
      </c>
      <c r="D305" s="31" t="s">
        <v>1544</v>
      </c>
      <c r="E305" s="31">
        <v>8</v>
      </c>
      <c r="F305" s="31">
        <v>8</v>
      </c>
      <c r="G305" s="9">
        <v>0</v>
      </c>
      <c r="H305" s="7" t="s">
        <v>1416</v>
      </c>
      <c r="I305" s="7" t="s">
        <v>1438</v>
      </c>
    </row>
    <row r="306" spans="1:9" ht="255" x14ac:dyDescent="0.25">
      <c r="A306" s="32" t="s">
        <v>930</v>
      </c>
      <c r="B306" s="31" t="s">
        <v>929</v>
      </c>
      <c r="C306" s="31" t="s">
        <v>918</v>
      </c>
      <c r="D306" s="31" t="s">
        <v>1544</v>
      </c>
      <c r="E306" s="31">
        <v>21</v>
      </c>
      <c r="F306" s="31">
        <v>22</v>
      </c>
      <c r="G306" s="9">
        <v>0</v>
      </c>
      <c r="H306" s="7" t="s">
        <v>1409</v>
      </c>
      <c r="I306" s="7" t="s">
        <v>1438</v>
      </c>
    </row>
    <row r="307" spans="1:9" ht="178.5" x14ac:dyDescent="0.25">
      <c r="A307" s="32" t="s">
        <v>930</v>
      </c>
      <c r="B307" s="31" t="s">
        <v>929</v>
      </c>
      <c r="C307" s="31" t="s">
        <v>918</v>
      </c>
      <c r="D307" s="31" t="s">
        <v>1544</v>
      </c>
      <c r="E307" s="31">
        <v>25</v>
      </c>
      <c r="F307" s="31">
        <v>25</v>
      </c>
      <c r="G307" s="9">
        <v>0</v>
      </c>
      <c r="H307" s="7" t="s">
        <v>1407</v>
      </c>
      <c r="I307" s="7" t="s">
        <v>1438</v>
      </c>
    </row>
    <row r="308" spans="1:9" ht="51" x14ac:dyDescent="0.25">
      <c r="A308" s="32" t="s">
        <v>930</v>
      </c>
      <c r="B308" s="31" t="s">
        <v>929</v>
      </c>
      <c r="C308" s="31" t="s">
        <v>640</v>
      </c>
      <c r="D308" s="31" t="s">
        <v>1544</v>
      </c>
      <c r="E308" s="31">
        <v>9</v>
      </c>
      <c r="F308" s="31">
        <v>9</v>
      </c>
      <c r="G308" s="9">
        <v>0</v>
      </c>
      <c r="H308" s="7" t="s">
        <v>1404</v>
      </c>
      <c r="I308" s="7" t="s">
        <v>1438</v>
      </c>
    </row>
    <row r="309" spans="1:9" ht="127.5" x14ac:dyDescent="0.25">
      <c r="A309" s="32" t="s">
        <v>930</v>
      </c>
      <c r="B309" s="31" t="s">
        <v>929</v>
      </c>
      <c r="C309" s="31" t="s">
        <v>640</v>
      </c>
      <c r="D309" s="31" t="s">
        <v>1544</v>
      </c>
      <c r="E309" s="31">
        <v>18</v>
      </c>
      <c r="F309" s="31">
        <v>18</v>
      </c>
      <c r="G309" s="9">
        <v>0</v>
      </c>
      <c r="H309" s="7" t="s">
        <v>1403</v>
      </c>
      <c r="I309" s="7" t="s">
        <v>1438</v>
      </c>
    </row>
    <row r="310" spans="1:9" ht="165.75" x14ac:dyDescent="0.25">
      <c r="A310" s="32" t="s">
        <v>930</v>
      </c>
      <c r="B310" s="31" t="s">
        <v>929</v>
      </c>
      <c r="C310" s="31" t="s">
        <v>640</v>
      </c>
      <c r="D310" s="31" t="s">
        <v>1544</v>
      </c>
      <c r="E310" s="31">
        <v>40</v>
      </c>
      <c r="F310" s="31">
        <v>40</v>
      </c>
      <c r="G310" s="9">
        <v>0</v>
      </c>
      <c r="H310" s="7" t="s">
        <v>1402</v>
      </c>
      <c r="I310" s="7" t="s">
        <v>1438</v>
      </c>
    </row>
    <row r="311" spans="1:9" ht="114.75" x14ac:dyDescent="0.25">
      <c r="A311" s="32" t="s">
        <v>930</v>
      </c>
      <c r="B311" s="31" t="s">
        <v>929</v>
      </c>
      <c r="C311" s="31" t="s">
        <v>97</v>
      </c>
      <c r="D311" s="31" t="s">
        <v>1544</v>
      </c>
      <c r="E311" s="31">
        <v>20</v>
      </c>
      <c r="F311" s="31">
        <v>20</v>
      </c>
      <c r="G311" s="9">
        <v>0</v>
      </c>
      <c r="H311" s="7" t="s">
        <v>1399</v>
      </c>
      <c r="I311" s="7" t="s">
        <v>1438</v>
      </c>
    </row>
    <row r="312" spans="1:9" ht="102" x14ac:dyDescent="0.25">
      <c r="A312" s="32" t="s">
        <v>930</v>
      </c>
      <c r="B312" s="31" t="s">
        <v>929</v>
      </c>
      <c r="C312" s="31" t="s">
        <v>21</v>
      </c>
      <c r="D312" s="31" t="s">
        <v>1544</v>
      </c>
      <c r="E312" s="31">
        <v>20</v>
      </c>
      <c r="F312" s="31">
        <v>20</v>
      </c>
      <c r="G312" s="9">
        <v>0</v>
      </c>
      <c r="H312" s="7" t="s">
        <v>1389</v>
      </c>
      <c r="I312" s="7" t="s">
        <v>1438</v>
      </c>
    </row>
    <row r="313" spans="1:9" ht="76.5" x14ac:dyDescent="0.25">
      <c r="A313" s="32" t="s">
        <v>930</v>
      </c>
      <c r="B313" s="31" t="s">
        <v>929</v>
      </c>
      <c r="C313" s="31" t="s">
        <v>21</v>
      </c>
      <c r="D313" s="31" t="s">
        <v>1544</v>
      </c>
      <c r="E313" s="31">
        <v>37</v>
      </c>
      <c r="F313" s="31">
        <v>37</v>
      </c>
      <c r="G313" s="9">
        <v>0</v>
      </c>
      <c r="H313" s="7" t="s">
        <v>1387</v>
      </c>
      <c r="I313" s="7" t="s">
        <v>1438</v>
      </c>
    </row>
    <row r="314" spans="1:9" ht="409.5" x14ac:dyDescent="0.25">
      <c r="A314" s="32" t="s">
        <v>930</v>
      </c>
      <c r="B314" s="31" t="s">
        <v>929</v>
      </c>
      <c r="C314" s="31" t="s">
        <v>500</v>
      </c>
      <c r="D314" s="31" t="s">
        <v>1544</v>
      </c>
      <c r="E314" s="31">
        <v>5</v>
      </c>
      <c r="F314" s="31">
        <v>7</v>
      </c>
      <c r="G314" s="9">
        <v>0</v>
      </c>
      <c r="H314" s="7" t="s">
        <v>1377</v>
      </c>
      <c r="I314" s="7" t="s">
        <v>1438</v>
      </c>
    </row>
    <row r="315" spans="1:9" ht="409.5" x14ac:dyDescent="0.25">
      <c r="A315" s="32" t="s">
        <v>930</v>
      </c>
      <c r="B315" s="31" t="s">
        <v>929</v>
      </c>
      <c r="C315" s="31" t="s">
        <v>500</v>
      </c>
      <c r="D315" s="31" t="s">
        <v>1544</v>
      </c>
      <c r="E315" s="31">
        <v>10</v>
      </c>
      <c r="F315" s="31">
        <v>12</v>
      </c>
      <c r="G315" s="9">
        <v>0</v>
      </c>
      <c r="H315" s="7" t="s">
        <v>1376</v>
      </c>
      <c r="I315" s="7" t="s">
        <v>1438</v>
      </c>
    </row>
    <row r="316" spans="1:9" ht="344.25" x14ac:dyDescent="0.25">
      <c r="A316" s="32" t="s">
        <v>930</v>
      </c>
      <c r="B316" s="31" t="s">
        <v>929</v>
      </c>
      <c r="C316" s="31" t="s">
        <v>500</v>
      </c>
      <c r="D316" s="31" t="s">
        <v>1544</v>
      </c>
      <c r="E316" s="31">
        <v>13</v>
      </c>
      <c r="F316" s="31">
        <v>16</v>
      </c>
      <c r="G316" s="9">
        <v>0</v>
      </c>
      <c r="H316" s="7" t="s">
        <v>1375</v>
      </c>
      <c r="I316" s="7" t="s">
        <v>1438</v>
      </c>
    </row>
    <row r="317" spans="1:9" ht="409.5" x14ac:dyDescent="0.25">
      <c r="A317" s="32" t="s">
        <v>930</v>
      </c>
      <c r="B317" s="31" t="s">
        <v>929</v>
      </c>
      <c r="C317" s="31" t="s">
        <v>500</v>
      </c>
      <c r="D317" s="31" t="s">
        <v>1544</v>
      </c>
      <c r="E317" s="31">
        <v>21</v>
      </c>
      <c r="F317" s="31">
        <v>24</v>
      </c>
      <c r="G317" s="9">
        <v>0</v>
      </c>
      <c r="H317" s="7" t="s">
        <v>1374</v>
      </c>
      <c r="I317" s="7" t="s">
        <v>1438</v>
      </c>
    </row>
    <row r="318" spans="1:9" ht="229.5" x14ac:dyDescent="0.25">
      <c r="A318" s="32" t="s">
        <v>930</v>
      </c>
      <c r="B318" s="31" t="s">
        <v>929</v>
      </c>
      <c r="C318" s="31" t="s">
        <v>500</v>
      </c>
      <c r="D318" s="31" t="s">
        <v>1544</v>
      </c>
      <c r="E318" s="31">
        <v>27</v>
      </c>
      <c r="F318" s="31">
        <v>28</v>
      </c>
      <c r="G318" s="9">
        <v>0</v>
      </c>
      <c r="H318" s="7" t="s">
        <v>1373</v>
      </c>
      <c r="I318" s="7" t="s">
        <v>1438</v>
      </c>
    </row>
    <row r="319" spans="1:9" ht="38.25" x14ac:dyDescent="0.25">
      <c r="A319" s="32" t="s">
        <v>930</v>
      </c>
      <c r="B319" s="31" t="s">
        <v>929</v>
      </c>
      <c r="C319" s="31" t="s">
        <v>433</v>
      </c>
      <c r="D319" s="31" t="s">
        <v>1544</v>
      </c>
      <c r="E319" s="31">
        <v>5</v>
      </c>
      <c r="F319" s="31">
        <v>5</v>
      </c>
      <c r="G319" s="9">
        <v>0</v>
      </c>
      <c r="H319" s="7" t="s">
        <v>1349</v>
      </c>
      <c r="I319" s="7" t="s">
        <v>1438</v>
      </c>
    </row>
    <row r="320" spans="1:9" ht="280.5" x14ac:dyDescent="0.25">
      <c r="A320" s="32" t="s">
        <v>930</v>
      </c>
      <c r="B320" s="31" t="s">
        <v>929</v>
      </c>
      <c r="C320" s="31" t="s">
        <v>433</v>
      </c>
      <c r="D320" s="31" t="s">
        <v>1544</v>
      </c>
      <c r="E320" s="31">
        <v>37</v>
      </c>
      <c r="F320" s="31">
        <v>40</v>
      </c>
      <c r="G320" s="9">
        <v>0</v>
      </c>
      <c r="H320" s="7" t="s">
        <v>1343</v>
      </c>
      <c r="I320" s="7" t="s">
        <v>1438</v>
      </c>
    </row>
    <row r="321" spans="1:9" ht="114.75" x14ac:dyDescent="0.25">
      <c r="A321" s="32" t="s">
        <v>930</v>
      </c>
      <c r="B321" s="31" t="s">
        <v>929</v>
      </c>
      <c r="C321" s="31" t="s">
        <v>703</v>
      </c>
      <c r="D321" s="31" t="s">
        <v>1544</v>
      </c>
      <c r="E321" s="31">
        <v>4</v>
      </c>
      <c r="F321" s="31">
        <v>4</v>
      </c>
      <c r="G321" s="9">
        <v>0</v>
      </c>
      <c r="H321" s="7" t="s">
        <v>1492</v>
      </c>
      <c r="I321" s="7" t="s">
        <v>1438</v>
      </c>
    </row>
    <row r="322" spans="1:9" ht="102" x14ac:dyDescent="0.25">
      <c r="A322" s="32" t="s">
        <v>930</v>
      </c>
      <c r="B322" s="31" t="s">
        <v>929</v>
      </c>
      <c r="C322" s="31" t="s">
        <v>703</v>
      </c>
      <c r="D322" s="31" t="s">
        <v>1544</v>
      </c>
      <c r="E322" s="31">
        <v>12</v>
      </c>
      <c r="F322" s="31">
        <v>12</v>
      </c>
      <c r="G322" s="9">
        <v>0</v>
      </c>
      <c r="H322" s="7" t="s">
        <v>1341</v>
      </c>
      <c r="I322" s="7" t="s">
        <v>1438</v>
      </c>
    </row>
    <row r="323" spans="1:9" ht="114.75" x14ac:dyDescent="0.25">
      <c r="A323" s="32" t="s">
        <v>930</v>
      </c>
      <c r="B323" s="31" t="s">
        <v>929</v>
      </c>
      <c r="C323" s="31" t="s">
        <v>703</v>
      </c>
      <c r="D323" s="31" t="s">
        <v>1544</v>
      </c>
      <c r="E323" s="31">
        <v>16</v>
      </c>
      <c r="F323" s="31">
        <v>17</v>
      </c>
      <c r="G323" s="9">
        <v>0</v>
      </c>
      <c r="H323" s="7" t="s">
        <v>1493</v>
      </c>
      <c r="I323" s="7" t="s">
        <v>1438</v>
      </c>
    </row>
    <row r="324" spans="1:9" ht="255" x14ac:dyDescent="0.25">
      <c r="A324" s="32" t="s">
        <v>930</v>
      </c>
      <c r="B324" s="31" t="s">
        <v>929</v>
      </c>
      <c r="C324" s="31" t="s">
        <v>703</v>
      </c>
      <c r="D324" s="31" t="s">
        <v>1544</v>
      </c>
      <c r="E324" s="31">
        <v>18</v>
      </c>
      <c r="F324" s="31">
        <v>19</v>
      </c>
      <c r="G324" s="9">
        <v>0</v>
      </c>
      <c r="H324" s="7" t="s">
        <v>1494</v>
      </c>
      <c r="I324" s="7" t="s">
        <v>1438</v>
      </c>
    </row>
    <row r="325" spans="1:9" ht="306" x14ac:dyDescent="0.25">
      <c r="A325" s="32" t="s">
        <v>930</v>
      </c>
      <c r="B325" s="31" t="s">
        <v>929</v>
      </c>
      <c r="C325" s="31" t="s">
        <v>703</v>
      </c>
      <c r="D325" s="31" t="s">
        <v>1544</v>
      </c>
      <c r="E325" s="31">
        <v>26</v>
      </c>
      <c r="F325" s="31">
        <v>28</v>
      </c>
      <c r="G325" s="9">
        <v>0</v>
      </c>
      <c r="H325" s="7" t="s">
        <v>1338</v>
      </c>
      <c r="I325" s="7" t="s">
        <v>1438</v>
      </c>
    </row>
    <row r="326" spans="1:9" ht="51" x14ac:dyDescent="0.25">
      <c r="A326" s="32" t="s">
        <v>930</v>
      </c>
      <c r="B326" s="31" t="s">
        <v>929</v>
      </c>
      <c r="C326" s="31" t="s">
        <v>411</v>
      </c>
      <c r="D326" s="31" t="s">
        <v>1544</v>
      </c>
      <c r="E326" s="31">
        <v>5</v>
      </c>
      <c r="F326" s="31">
        <v>5</v>
      </c>
      <c r="G326" s="9">
        <v>0</v>
      </c>
      <c r="H326" s="7" t="s">
        <v>1333</v>
      </c>
      <c r="I326" s="7" t="s">
        <v>1438</v>
      </c>
    </row>
    <row r="327" spans="1:9" ht="63.75" x14ac:dyDescent="0.25">
      <c r="A327" s="32" t="s">
        <v>930</v>
      </c>
      <c r="B327" s="31" t="s">
        <v>929</v>
      </c>
      <c r="C327" s="31" t="s">
        <v>85</v>
      </c>
      <c r="D327" s="31" t="s">
        <v>1544</v>
      </c>
      <c r="E327" s="31">
        <v>25</v>
      </c>
      <c r="F327" s="31">
        <v>25</v>
      </c>
      <c r="G327" s="9">
        <v>0</v>
      </c>
      <c r="H327" s="7" t="s">
        <v>1316</v>
      </c>
      <c r="I327" s="7" t="s">
        <v>1438</v>
      </c>
    </row>
    <row r="328" spans="1:9" ht="51" x14ac:dyDescent="0.25">
      <c r="A328" s="32" t="s">
        <v>930</v>
      </c>
      <c r="B328" s="31" t="s">
        <v>929</v>
      </c>
      <c r="C328" s="31" t="s">
        <v>85</v>
      </c>
      <c r="D328" s="31" t="s">
        <v>1544</v>
      </c>
      <c r="E328" s="31">
        <v>35</v>
      </c>
      <c r="F328" s="31">
        <v>35</v>
      </c>
      <c r="G328" s="9">
        <v>0</v>
      </c>
      <c r="H328" s="7" t="s">
        <v>1310</v>
      </c>
      <c r="I328" s="7" t="s">
        <v>1438</v>
      </c>
    </row>
    <row r="329" spans="1:9" ht="89.25" x14ac:dyDescent="0.25">
      <c r="A329" s="32" t="s">
        <v>930</v>
      </c>
      <c r="B329" s="31" t="s">
        <v>929</v>
      </c>
      <c r="C329" s="31" t="s">
        <v>474</v>
      </c>
      <c r="D329" s="31" t="s">
        <v>1544</v>
      </c>
      <c r="E329" s="31">
        <v>8</v>
      </c>
      <c r="F329" s="31">
        <v>8</v>
      </c>
      <c r="G329" s="9">
        <v>0</v>
      </c>
      <c r="H329" s="7" t="s">
        <v>1308</v>
      </c>
      <c r="I329" s="7" t="s">
        <v>1438</v>
      </c>
    </row>
    <row r="330" spans="1:9" ht="127.5" x14ac:dyDescent="0.25">
      <c r="A330" s="32" t="s">
        <v>930</v>
      </c>
      <c r="B330" s="31" t="s">
        <v>929</v>
      </c>
      <c r="C330" s="31" t="s">
        <v>474</v>
      </c>
      <c r="D330" s="31" t="s">
        <v>1544</v>
      </c>
      <c r="E330" s="31">
        <v>39</v>
      </c>
      <c r="F330" s="31">
        <v>39</v>
      </c>
      <c r="G330" s="9">
        <v>0</v>
      </c>
      <c r="H330" s="7" t="s">
        <v>1299</v>
      </c>
      <c r="I330" s="7" t="s">
        <v>1438</v>
      </c>
    </row>
    <row r="331" spans="1:9" ht="63.75" x14ac:dyDescent="0.25">
      <c r="A331" s="32" t="s">
        <v>930</v>
      </c>
      <c r="B331" s="31" t="s">
        <v>929</v>
      </c>
      <c r="C331" s="31" t="s">
        <v>281</v>
      </c>
      <c r="D331" s="31" t="s">
        <v>1544</v>
      </c>
      <c r="E331" s="31">
        <v>6</v>
      </c>
      <c r="F331" s="31">
        <v>6</v>
      </c>
      <c r="G331" s="9">
        <v>0</v>
      </c>
      <c r="H331" s="7" t="s">
        <v>1284</v>
      </c>
      <c r="I331" s="7" t="s">
        <v>1438</v>
      </c>
    </row>
    <row r="332" spans="1:9" ht="76.5" x14ac:dyDescent="0.25">
      <c r="A332" s="32" t="s">
        <v>930</v>
      </c>
      <c r="B332" s="31" t="s">
        <v>929</v>
      </c>
      <c r="C332" s="31" t="s">
        <v>281</v>
      </c>
      <c r="D332" s="31" t="s">
        <v>1544</v>
      </c>
      <c r="E332" s="31">
        <v>7</v>
      </c>
      <c r="F332" s="31">
        <v>7</v>
      </c>
      <c r="G332" s="9">
        <v>0</v>
      </c>
      <c r="H332" s="7" t="s">
        <v>1283</v>
      </c>
      <c r="I332" s="7" t="s">
        <v>1438</v>
      </c>
    </row>
    <row r="333" spans="1:9" ht="89.25" x14ac:dyDescent="0.25">
      <c r="A333" s="32" t="s">
        <v>930</v>
      </c>
      <c r="B333" s="31" t="s">
        <v>929</v>
      </c>
      <c r="C333" s="31" t="s">
        <v>281</v>
      </c>
      <c r="D333" s="31" t="s">
        <v>1544</v>
      </c>
      <c r="E333" s="31">
        <v>16</v>
      </c>
      <c r="F333" s="31">
        <v>16</v>
      </c>
      <c r="G333" s="9">
        <v>0</v>
      </c>
      <c r="H333" s="7" t="s">
        <v>1281</v>
      </c>
      <c r="I333" s="7" t="s">
        <v>1438</v>
      </c>
    </row>
    <row r="334" spans="1:9" ht="114.75" x14ac:dyDescent="0.25">
      <c r="A334" s="32" t="s">
        <v>930</v>
      </c>
      <c r="B334" s="31" t="s">
        <v>929</v>
      </c>
      <c r="C334" s="31" t="s">
        <v>281</v>
      </c>
      <c r="D334" s="31" t="s">
        <v>1544</v>
      </c>
      <c r="E334" s="31">
        <v>17</v>
      </c>
      <c r="F334" s="31">
        <v>17</v>
      </c>
      <c r="G334" s="9">
        <v>0</v>
      </c>
      <c r="H334" s="7" t="s">
        <v>1280</v>
      </c>
      <c r="I334" s="7" t="s">
        <v>1438</v>
      </c>
    </row>
    <row r="335" spans="1:9" ht="76.5" x14ac:dyDescent="0.25">
      <c r="A335" s="32" t="s">
        <v>930</v>
      </c>
      <c r="B335" s="31" t="s">
        <v>929</v>
      </c>
      <c r="C335" s="31" t="s">
        <v>281</v>
      </c>
      <c r="D335" s="31" t="s">
        <v>1544</v>
      </c>
      <c r="E335" s="31">
        <v>23</v>
      </c>
      <c r="F335" s="31">
        <v>23</v>
      </c>
      <c r="G335" s="9">
        <v>0</v>
      </c>
      <c r="H335" s="7" t="s">
        <v>1278</v>
      </c>
      <c r="I335" s="7" t="s">
        <v>1438</v>
      </c>
    </row>
    <row r="336" spans="1:9" ht="76.5" x14ac:dyDescent="0.25">
      <c r="A336" s="32" t="s">
        <v>930</v>
      </c>
      <c r="B336" s="31" t="s">
        <v>929</v>
      </c>
      <c r="C336" s="31" t="s">
        <v>281</v>
      </c>
      <c r="D336" s="31" t="s">
        <v>1544</v>
      </c>
      <c r="E336" s="31">
        <v>25</v>
      </c>
      <c r="F336" s="31">
        <v>25</v>
      </c>
      <c r="G336" s="9">
        <v>0</v>
      </c>
      <c r="H336" s="7" t="s">
        <v>1277</v>
      </c>
      <c r="I336" s="7" t="s">
        <v>1438</v>
      </c>
    </row>
    <row r="337" spans="1:9" ht="63.75" x14ac:dyDescent="0.25">
      <c r="A337" s="32" t="s">
        <v>930</v>
      </c>
      <c r="B337" s="31" t="s">
        <v>929</v>
      </c>
      <c r="C337" s="31" t="s">
        <v>281</v>
      </c>
      <c r="D337" s="31" t="s">
        <v>1544</v>
      </c>
      <c r="E337" s="31">
        <v>28</v>
      </c>
      <c r="F337" s="31">
        <v>28</v>
      </c>
      <c r="G337" s="9">
        <v>0</v>
      </c>
      <c r="H337" s="7" t="s">
        <v>1276</v>
      </c>
      <c r="I337" s="7" t="s">
        <v>1438</v>
      </c>
    </row>
    <row r="338" spans="1:9" ht="51" x14ac:dyDescent="0.25">
      <c r="A338" s="32" t="s">
        <v>930</v>
      </c>
      <c r="B338" s="31" t="s">
        <v>929</v>
      </c>
      <c r="C338" s="31" t="s">
        <v>281</v>
      </c>
      <c r="D338" s="31" t="s">
        <v>1544</v>
      </c>
      <c r="E338" s="31">
        <v>28</v>
      </c>
      <c r="F338" s="31">
        <v>28</v>
      </c>
      <c r="G338" s="9">
        <v>0</v>
      </c>
      <c r="H338" s="7" t="s">
        <v>1275</v>
      </c>
      <c r="I338" s="7" t="s">
        <v>1438</v>
      </c>
    </row>
    <row r="339" spans="1:9" ht="280.5" x14ac:dyDescent="0.25">
      <c r="A339" s="32" t="s">
        <v>930</v>
      </c>
      <c r="B339" s="31" t="s">
        <v>929</v>
      </c>
      <c r="C339" s="31" t="s">
        <v>386</v>
      </c>
      <c r="D339" s="31" t="s">
        <v>1544</v>
      </c>
      <c r="E339" s="31">
        <v>9</v>
      </c>
      <c r="F339" s="31">
        <v>10</v>
      </c>
      <c r="G339" s="9">
        <v>0</v>
      </c>
      <c r="H339" s="7" t="s">
        <v>1268</v>
      </c>
      <c r="I339" s="7" t="s">
        <v>1438</v>
      </c>
    </row>
    <row r="340" spans="1:9" ht="280.5" x14ac:dyDescent="0.25">
      <c r="A340" s="32" t="s">
        <v>930</v>
      </c>
      <c r="B340" s="31" t="s">
        <v>929</v>
      </c>
      <c r="C340" s="31" t="s">
        <v>744</v>
      </c>
      <c r="D340" s="31" t="s">
        <v>1544</v>
      </c>
      <c r="E340" s="31">
        <v>13</v>
      </c>
      <c r="F340" s="31">
        <v>15</v>
      </c>
      <c r="G340" s="9">
        <v>0</v>
      </c>
      <c r="H340" s="7" t="s">
        <v>1257</v>
      </c>
      <c r="I340" s="7" t="s">
        <v>1438</v>
      </c>
    </row>
    <row r="341" spans="1:9" ht="293.25" x14ac:dyDescent="0.25">
      <c r="A341" s="32" t="s">
        <v>930</v>
      </c>
      <c r="B341" s="31" t="s">
        <v>929</v>
      </c>
      <c r="C341" s="31" t="s">
        <v>744</v>
      </c>
      <c r="D341" s="31" t="s">
        <v>1544</v>
      </c>
      <c r="E341" s="31">
        <v>24</v>
      </c>
      <c r="F341" s="31">
        <v>26</v>
      </c>
      <c r="G341" s="9">
        <v>0</v>
      </c>
      <c r="H341" s="7" t="s">
        <v>1256</v>
      </c>
      <c r="I341" s="7" t="s">
        <v>1438</v>
      </c>
    </row>
    <row r="342" spans="1:9" ht="306" x14ac:dyDescent="0.25">
      <c r="A342" s="32" t="s">
        <v>930</v>
      </c>
      <c r="B342" s="31" t="s">
        <v>929</v>
      </c>
      <c r="C342" s="31" t="s">
        <v>744</v>
      </c>
      <c r="D342" s="31" t="s">
        <v>1544</v>
      </c>
      <c r="E342" s="31">
        <v>33</v>
      </c>
      <c r="F342" s="31">
        <v>37</v>
      </c>
      <c r="G342" s="9">
        <v>0</v>
      </c>
      <c r="H342" s="7" t="s">
        <v>1255</v>
      </c>
      <c r="I342" s="7" t="s">
        <v>1438</v>
      </c>
    </row>
    <row r="343" spans="1:9" ht="127.5" x14ac:dyDescent="0.25">
      <c r="A343" s="32" t="s">
        <v>930</v>
      </c>
      <c r="B343" s="31" t="s">
        <v>929</v>
      </c>
      <c r="C343" s="31" t="s">
        <v>316</v>
      </c>
      <c r="D343" s="31" t="s">
        <v>1544</v>
      </c>
      <c r="E343" s="31">
        <v>16</v>
      </c>
      <c r="F343" s="31">
        <v>16</v>
      </c>
      <c r="G343" s="9">
        <v>0</v>
      </c>
      <c r="H343" s="7" t="s">
        <v>1250</v>
      </c>
      <c r="I343" s="7" t="s">
        <v>1438</v>
      </c>
    </row>
    <row r="344" spans="1:9" ht="140.25" x14ac:dyDescent="0.25">
      <c r="A344" s="32" t="s">
        <v>930</v>
      </c>
      <c r="B344" s="31" t="s">
        <v>929</v>
      </c>
      <c r="C344" s="31" t="s">
        <v>316</v>
      </c>
      <c r="D344" s="31" t="s">
        <v>1544</v>
      </c>
      <c r="E344" s="31">
        <v>42</v>
      </c>
      <c r="F344" s="31">
        <v>42</v>
      </c>
      <c r="G344" s="9">
        <v>0</v>
      </c>
      <c r="H344" s="7" t="s">
        <v>1509</v>
      </c>
      <c r="I344" s="7" t="s">
        <v>1438</v>
      </c>
    </row>
    <row r="345" spans="1:9" ht="76.5" x14ac:dyDescent="0.25">
      <c r="A345" s="32" t="s">
        <v>930</v>
      </c>
      <c r="B345" s="31" t="s">
        <v>929</v>
      </c>
      <c r="C345" s="31" t="s">
        <v>67</v>
      </c>
      <c r="D345" s="31" t="s">
        <v>1544</v>
      </c>
      <c r="E345" s="31">
        <v>18</v>
      </c>
      <c r="F345" s="31">
        <v>18</v>
      </c>
      <c r="G345" s="9">
        <v>0</v>
      </c>
      <c r="H345" s="7" t="s">
        <v>1241</v>
      </c>
      <c r="I345" s="7" t="s">
        <v>1438</v>
      </c>
    </row>
    <row r="346" spans="1:9" ht="63.75" x14ac:dyDescent="0.25">
      <c r="A346" s="32" t="s">
        <v>930</v>
      </c>
      <c r="B346" s="31" t="s">
        <v>929</v>
      </c>
      <c r="C346" s="31" t="s">
        <v>67</v>
      </c>
      <c r="D346" s="31" t="s">
        <v>1544</v>
      </c>
      <c r="E346" s="31">
        <v>31</v>
      </c>
      <c r="F346" s="31">
        <v>31</v>
      </c>
      <c r="G346" s="9">
        <v>0</v>
      </c>
      <c r="H346" s="7" t="s">
        <v>1233</v>
      </c>
      <c r="I346" s="7" t="s">
        <v>1438</v>
      </c>
    </row>
    <row r="347" spans="1:9" ht="89.25" x14ac:dyDescent="0.25">
      <c r="A347" s="32" t="s">
        <v>930</v>
      </c>
      <c r="B347" s="31" t="s">
        <v>929</v>
      </c>
      <c r="C347" s="31" t="s">
        <v>399</v>
      </c>
      <c r="D347" s="31" t="s">
        <v>1544</v>
      </c>
      <c r="E347" s="31">
        <v>14</v>
      </c>
      <c r="F347" s="31">
        <v>14</v>
      </c>
      <c r="G347" s="9">
        <v>0</v>
      </c>
      <c r="H347" s="7" t="s">
        <v>1222</v>
      </c>
      <c r="I347" s="7" t="s">
        <v>1438</v>
      </c>
    </row>
    <row r="348" spans="1:9" ht="63.75" x14ac:dyDescent="0.25">
      <c r="A348" s="32" t="s">
        <v>930</v>
      </c>
      <c r="B348" s="31" t="s">
        <v>929</v>
      </c>
      <c r="C348" s="31" t="s">
        <v>399</v>
      </c>
      <c r="D348" s="31" t="s">
        <v>1544</v>
      </c>
      <c r="E348" s="31">
        <v>36</v>
      </c>
      <c r="F348" s="31">
        <v>36</v>
      </c>
      <c r="G348" s="9">
        <v>0</v>
      </c>
      <c r="H348" s="7" t="s">
        <v>1213</v>
      </c>
      <c r="I348" s="7" t="s">
        <v>1438</v>
      </c>
    </row>
    <row r="349" spans="1:9" ht="280.5" x14ac:dyDescent="0.25">
      <c r="A349" s="32" t="s">
        <v>930</v>
      </c>
      <c r="B349" s="31" t="s">
        <v>929</v>
      </c>
      <c r="C349" s="31" t="s">
        <v>737</v>
      </c>
      <c r="D349" s="31" t="s">
        <v>1544</v>
      </c>
      <c r="E349" s="31">
        <v>8</v>
      </c>
      <c r="F349" s="31">
        <v>10</v>
      </c>
      <c r="G349" s="9">
        <v>0</v>
      </c>
      <c r="H349" s="7" t="s">
        <v>1197</v>
      </c>
      <c r="I349" s="7" t="s">
        <v>1438</v>
      </c>
    </row>
    <row r="350" spans="1:9" ht="229.5" x14ac:dyDescent="0.25">
      <c r="A350" s="32" t="s">
        <v>930</v>
      </c>
      <c r="B350" s="31" t="s">
        <v>929</v>
      </c>
      <c r="C350" s="31" t="s">
        <v>737</v>
      </c>
      <c r="D350" s="31" t="s">
        <v>1544</v>
      </c>
      <c r="E350" s="31">
        <v>23</v>
      </c>
      <c r="F350" s="31">
        <v>23</v>
      </c>
      <c r="G350" s="9">
        <v>0</v>
      </c>
      <c r="H350" s="7" t="s">
        <v>1193</v>
      </c>
      <c r="I350" s="7" t="s">
        <v>1438</v>
      </c>
    </row>
    <row r="351" spans="1:9" ht="255" x14ac:dyDescent="0.25">
      <c r="A351" s="32" t="s">
        <v>930</v>
      </c>
      <c r="B351" s="31" t="s">
        <v>929</v>
      </c>
      <c r="C351" s="31" t="s">
        <v>737</v>
      </c>
      <c r="D351" s="31" t="s">
        <v>1544</v>
      </c>
      <c r="E351" s="31">
        <v>25</v>
      </c>
      <c r="F351" s="31">
        <v>25</v>
      </c>
      <c r="G351" s="9">
        <v>0</v>
      </c>
      <c r="H351" s="7" t="s">
        <v>1192</v>
      </c>
      <c r="I351" s="7" t="s">
        <v>1438</v>
      </c>
    </row>
    <row r="352" spans="1:9" ht="344.25" x14ac:dyDescent="0.25">
      <c r="A352" s="32" t="s">
        <v>930</v>
      </c>
      <c r="B352" s="31" t="s">
        <v>929</v>
      </c>
      <c r="C352" s="31" t="s">
        <v>737</v>
      </c>
      <c r="D352" s="31" t="s">
        <v>1544</v>
      </c>
      <c r="E352" s="31">
        <v>33</v>
      </c>
      <c r="F352" s="31">
        <v>35</v>
      </c>
      <c r="G352" s="9">
        <v>0</v>
      </c>
      <c r="H352" s="7" t="s">
        <v>1190</v>
      </c>
      <c r="I352" s="7" t="s">
        <v>1438</v>
      </c>
    </row>
    <row r="353" spans="1:9" ht="89.25" x14ac:dyDescent="0.25">
      <c r="A353" s="32" t="s">
        <v>930</v>
      </c>
      <c r="B353" s="31" t="s">
        <v>929</v>
      </c>
      <c r="C353" s="31" t="s">
        <v>532</v>
      </c>
      <c r="D353" s="31" t="s">
        <v>1544</v>
      </c>
      <c r="E353" s="31">
        <v>4</v>
      </c>
      <c r="F353" s="31">
        <v>4</v>
      </c>
      <c r="G353" s="9">
        <v>0</v>
      </c>
      <c r="H353" s="7" t="s">
        <v>1189</v>
      </c>
      <c r="I353" s="7" t="s">
        <v>1438</v>
      </c>
    </row>
    <row r="354" spans="1:9" ht="102" x14ac:dyDescent="0.25">
      <c r="A354" s="32" t="s">
        <v>930</v>
      </c>
      <c r="B354" s="31" t="s">
        <v>929</v>
      </c>
      <c r="C354" s="31" t="s">
        <v>532</v>
      </c>
      <c r="D354" s="31" t="s">
        <v>1544</v>
      </c>
      <c r="E354" s="31">
        <v>6</v>
      </c>
      <c r="F354" s="31">
        <v>6</v>
      </c>
      <c r="G354" s="9">
        <v>0</v>
      </c>
      <c r="H354" s="7" t="s">
        <v>1188</v>
      </c>
      <c r="I354" s="7" t="s">
        <v>1438</v>
      </c>
    </row>
    <row r="355" spans="1:9" ht="409.5" x14ac:dyDescent="0.25">
      <c r="A355" s="32" t="s">
        <v>930</v>
      </c>
      <c r="B355" s="31" t="s">
        <v>929</v>
      </c>
      <c r="C355" s="31" t="s">
        <v>532</v>
      </c>
      <c r="D355" s="31" t="s">
        <v>1544</v>
      </c>
      <c r="E355" s="31">
        <v>8</v>
      </c>
      <c r="F355" s="31">
        <v>12</v>
      </c>
      <c r="G355" s="9">
        <v>0</v>
      </c>
      <c r="H355" s="7" t="s">
        <v>1187</v>
      </c>
      <c r="I355" s="7" t="s">
        <v>1438</v>
      </c>
    </row>
    <row r="356" spans="1:9" ht="76.5" x14ac:dyDescent="0.25">
      <c r="A356" s="32" t="s">
        <v>930</v>
      </c>
      <c r="B356" s="31" t="s">
        <v>929</v>
      </c>
      <c r="C356" s="31" t="s">
        <v>532</v>
      </c>
      <c r="D356" s="31" t="s">
        <v>1544</v>
      </c>
      <c r="E356" s="31">
        <v>14</v>
      </c>
      <c r="F356" s="31">
        <v>14</v>
      </c>
      <c r="G356" s="9">
        <v>0</v>
      </c>
      <c r="H356" s="7" t="s">
        <v>1186</v>
      </c>
      <c r="I356" s="7" t="s">
        <v>1438</v>
      </c>
    </row>
    <row r="357" spans="1:9" ht="102" x14ac:dyDescent="0.25">
      <c r="A357" s="32" t="s">
        <v>930</v>
      </c>
      <c r="B357" s="31" t="s">
        <v>929</v>
      </c>
      <c r="C357" s="31" t="s">
        <v>532</v>
      </c>
      <c r="D357" s="31" t="s">
        <v>1544</v>
      </c>
      <c r="E357" s="31">
        <v>16</v>
      </c>
      <c r="F357" s="31">
        <v>16</v>
      </c>
      <c r="G357" s="9">
        <v>0</v>
      </c>
      <c r="H357" s="7" t="s">
        <v>1185</v>
      </c>
      <c r="I357" s="7" t="s">
        <v>1438</v>
      </c>
    </row>
    <row r="358" spans="1:9" ht="127.5" x14ac:dyDescent="0.25">
      <c r="A358" s="32" t="s">
        <v>930</v>
      </c>
      <c r="B358" s="31" t="s">
        <v>929</v>
      </c>
      <c r="C358" s="31" t="s">
        <v>532</v>
      </c>
      <c r="D358" s="31" t="s">
        <v>1544</v>
      </c>
      <c r="E358" s="31">
        <v>22</v>
      </c>
      <c r="F358" s="31">
        <v>22</v>
      </c>
      <c r="G358" s="9">
        <v>0</v>
      </c>
      <c r="H358" s="7" t="s">
        <v>1184</v>
      </c>
      <c r="I358" s="7" t="s">
        <v>1438</v>
      </c>
    </row>
    <row r="359" spans="1:9" ht="114.75" x14ac:dyDescent="0.25">
      <c r="A359" s="32" t="s">
        <v>930</v>
      </c>
      <c r="B359" s="31" t="s">
        <v>929</v>
      </c>
      <c r="C359" s="31" t="s">
        <v>532</v>
      </c>
      <c r="D359" s="31" t="s">
        <v>1544</v>
      </c>
      <c r="E359" s="31">
        <v>26</v>
      </c>
      <c r="F359" s="31">
        <v>26</v>
      </c>
      <c r="G359" s="9">
        <v>0</v>
      </c>
      <c r="H359" s="7" t="s">
        <v>1183</v>
      </c>
      <c r="I359" s="7" t="s">
        <v>1438</v>
      </c>
    </row>
    <row r="360" spans="1:9" ht="89.25" x14ac:dyDescent="0.25">
      <c r="A360" s="32" t="s">
        <v>930</v>
      </c>
      <c r="B360" s="31" t="s">
        <v>929</v>
      </c>
      <c r="C360" s="31" t="s">
        <v>675</v>
      </c>
      <c r="D360" s="31" t="s">
        <v>1544</v>
      </c>
      <c r="E360" s="31">
        <v>12</v>
      </c>
      <c r="F360" s="31">
        <v>12</v>
      </c>
      <c r="G360" s="9">
        <v>0</v>
      </c>
      <c r="H360" s="7" t="s">
        <v>1181</v>
      </c>
      <c r="I360" s="7" t="s">
        <v>1438</v>
      </c>
    </row>
    <row r="361" spans="1:9" ht="89.25" x14ac:dyDescent="0.25">
      <c r="A361" s="32" t="s">
        <v>930</v>
      </c>
      <c r="B361" s="31" t="s">
        <v>929</v>
      </c>
      <c r="C361" s="31" t="s">
        <v>422</v>
      </c>
      <c r="D361" s="31" t="s">
        <v>1544</v>
      </c>
      <c r="E361" s="31">
        <v>4</v>
      </c>
      <c r="F361" s="31">
        <v>4</v>
      </c>
      <c r="G361" s="9">
        <v>0</v>
      </c>
      <c r="H361" s="7" t="s">
        <v>1175</v>
      </c>
      <c r="I361" s="7" t="s">
        <v>1438</v>
      </c>
    </row>
    <row r="362" spans="1:9" ht="204" x14ac:dyDescent="0.25">
      <c r="A362" s="32" t="s">
        <v>930</v>
      </c>
      <c r="B362" s="31" t="s">
        <v>929</v>
      </c>
      <c r="C362" s="31" t="s">
        <v>795</v>
      </c>
      <c r="D362" s="31" t="s">
        <v>1544</v>
      </c>
      <c r="E362" s="31">
        <v>27</v>
      </c>
      <c r="F362" s="31">
        <v>27</v>
      </c>
      <c r="G362" s="9">
        <v>0</v>
      </c>
      <c r="H362" s="7" t="s">
        <v>1167</v>
      </c>
      <c r="I362" s="7" t="s">
        <v>1438</v>
      </c>
    </row>
    <row r="363" spans="1:9" ht="127.5" x14ac:dyDescent="0.25">
      <c r="A363" s="32" t="s">
        <v>930</v>
      </c>
      <c r="B363" s="31" t="s">
        <v>929</v>
      </c>
      <c r="C363" s="31" t="s">
        <v>487</v>
      </c>
      <c r="D363" s="31" t="s">
        <v>1544</v>
      </c>
      <c r="E363" s="31">
        <v>17</v>
      </c>
      <c r="F363" s="31">
        <v>17</v>
      </c>
      <c r="G363" s="9">
        <v>0</v>
      </c>
      <c r="H363" s="7" t="s">
        <v>1496</v>
      </c>
      <c r="I363" s="7" t="s">
        <v>1438</v>
      </c>
    </row>
    <row r="364" spans="1:9" ht="89.25" x14ac:dyDescent="0.25">
      <c r="A364" s="32" t="s">
        <v>930</v>
      </c>
      <c r="B364" s="31" t="s">
        <v>929</v>
      </c>
      <c r="C364" s="31" t="s">
        <v>487</v>
      </c>
      <c r="D364" s="31" t="s">
        <v>1544</v>
      </c>
      <c r="E364" s="31">
        <v>21</v>
      </c>
      <c r="F364" s="31">
        <v>21</v>
      </c>
      <c r="G364" s="9">
        <v>0</v>
      </c>
      <c r="H364" s="7" t="s">
        <v>1498</v>
      </c>
      <c r="I364" s="7" t="s">
        <v>1438</v>
      </c>
    </row>
    <row r="365" spans="1:9" ht="318.75" x14ac:dyDescent="0.25">
      <c r="A365" s="32" t="s">
        <v>930</v>
      </c>
      <c r="B365" s="31" t="s">
        <v>929</v>
      </c>
      <c r="C365" s="31" t="s">
        <v>487</v>
      </c>
      <c r="D365" s="31" t="s">
        <v>1544</v>
      </c>
      <c r="E365" s="31">
        <v>27</v>
      </c>
      <c r="F365" s="31">
        <v>30</v>
      </c>
      <c r="G365" s="9">
        <v>0</v>
      </c>
      <c r="H365" s="7" t="s">
        <v>1500</v>
      </c>
      <c r="I365" s="7" t="s">
        <v>1438</v>
      </c>
    </row>
    <row r="366" spans="1:9" ht="255" x14ac:dyDescent="0.25">
      <c r="A366" s="32" t="s">
        <v>930</v>
      </c>
      <c r="B366" s="31" t="s">
        <v>929</v>
      </c>
      <c r="C366" s="31" t="s">
        <v>487</v>
      </c>
      <c r="D366" s="31" t="s">
        <v>1544</v>
      </c>
      <c r="E366" s="31">
        <v>31</v>
      </c>
      <c r="F366" s="31">
        <v>32</v>
      </c>
      <c r="G366" s="9">
        <v>0</v>
      </c>
      <c r="H366" s="7" t="s">
        <v>1501</v>
      </c>
      <c r="I366" s="7" t="s">
        <v>1438</v>
      </c>
    </row>
    <row r="367" spans="1:9" ht="178.5" x14ac:dyDescent="0.25">
      <c r="A367" s="32" t="s">
        <v>930</v>
      </c>
      <c r="B367" s="31" t="s">
        <v>929</v>
      </c>
      <c r="C367" s="31" t="s">
        <v>339</v>
      </c>
      <c r="D367" s="31" t="s">
        <v>1544</v>
      </c>
      <c r="E367" s="31">
        <v>14</v>
      </c>
      <c r="F367" s="31">
        <v>15</v>
      </c>
      <c r="G367" s="9">
        <v>0</v>
      </c>
      <c r="H367" s="7" t="s">
        <v>1156</v>
      </c>
      <c r="I367" s="7" t="s">
        <v>1438</v>
      </c>
    </row>
    <row r="368" spans="1:9" ht="102" x14ac:dyDescent="0.25">
      <c r="A368" s="32" t="s">
        <v>930</v>
      </c>
      <c r="B368" s="31" t="s">
        <v>929</v>
      </c>
      <c r="C368" s="31" t="s">
        <v>339</v>
      </c>
      <c r="D368" s="31" t="s">
        <v>1544</v>
      </c>
      <c r="E368" s="31">
        <v>38</v>
      </c>
      <c r="F368" s="31">
        <v>38</v>
      </c>
      <c r="G368" s="9">
        <v>0</v>
      </c>
      <c r="H368" s="7" t="s">
        <v>1154</v>
      </c>
      <c r="I368" s="7" t="s">
        <v>1438</v>
      </c>
    </row>
    <row r="369" spans="1:9" ht="140.25" x14ac:dyDescent="0.25">
      <c r="A369" s="32" t="s">
        <v>930</v>
      </c>
      <c r="B369" s="31" t="s">
        <v>929</v>
      </c>
      <c r="C369" s="31" t="s">
        <v>182</v>
      </c>
      <c r="D369" s="31" t="s">
        <v>1544</v>
      </c>
      <c r="E369" s="31">
        <v>6</v>
      </c>
      <c r="F369" s="31">
        <v>6</v>
      </c>
      <c r="G369" s="9">
        <v>0</v>
      </c>
      <c r="H369" s="7" t="s">
        <v>1153</v>
      </c>
      <c r="I369" s="7" t="s">
        <v>1438</v>
      </c>
    </row>
    <row r="370" spans="1:9" ht="63.75" x14ac:dyDescent="0.25">
      <c r="A370" s="32" t="s">
        <v>930</v>
      </c>
      <c r="B370" s="31" t="s">
        <v>929</v>
      </c>
      <c r="C370" s="31" t="s">
        <v>182</v>
      </c>
      <c r="D370" s="31" t="s">
        <v>1544</v>
      </c>
      <c r="E370" s="31">
        <v>17</v>
      </c>
      <c r="F370" s="31">
        <v>17</v>
      </c>
      <c r="G370" s="9">
        <v>0</v>
      </c>
      <c r="H370" s="7" t="s">
        <v>1150</v>
      </c>
      <c r="I370" s="7" t="s">
        <v>1438</v>
      </c>
    </row>
    <row r="371" spans="1:9" ht="89.25" x14ac:dyDescent="0.25">
      <c r="A371" s="32" t="s">
        <v>930</v>
      </c>
      <c r="B371" s="31" t="s">
        <v>929</v>
      </c>
      <c r="C371" s="31" t="s">
        <v>327</v>
      </c>
      <c r="D371" s="31" t="s">
        <v>1544</v>
      </c>
      <c r="E371" s="31">
        <v>5</v>
      </c>
      <c r="F371" s="31">
        <v>5</v>
      </c>
      <c r="G371" s="9">
        <v>0</v>
      </c>
      <c r="H371" s="7" t="s">
        <v>1148</v>
      </c>
      <c r="I371" s="7" t="s">
        <v>1438</v>
      </c>
    </row>
    <row r="372" spans="1:9" ht="102" x14ac:dyDescent="0.25">
      <c r="A372" s="32" t="s">
        <v>930</v>
      </c>
      <c r="B372" s="31" t="s">
        <v>929</v>
      </c>
      <c r="C372" s="31" t="s">
        <v>327</v>
      </c>
      <c r="D372" s="31" t="s">
        <v>1544</v>
      </c>
      <c r="E372" s="31">
        <v>13</v>
      </c>
      <c r="F372" s="31">
        <v>13</v>
      </c>
      <c r="G372" s="9">
        <v>0</v>
      </c>
      <c r="H372" s="7" t="s">
        <v>1147</v>
      </c>
      <c r="I372" s="7" t="s">
        <v>1438</v>
      </c>
    </row>
    <row r="373" spans="1:9" ht="369.75" x14ac:dyDescent="0.25">
      <c r="A373" s="32" t="s">
        <v>930</v>
      </c>
      <c r="B373" s="31" t="s">
        <v>929</v>
      </c>
      <c r="C373" s="31" t="s">
        <v>57</v>
      </c>
      <c r="D373" s="31" t="s">
        <v>1544</v>
      </c>
      <c r="E373" s="31">
        <v>39</v>
      </c>
      <c r="F373" s="31">
        <v>43</v>
      </c>
      <c r="G373" s="9">
        <v>0</v>
      </c>
      <c r="H373" s="7" t="s">
        <v>1129</v>
      </c>
      <c r="I373" s="7" t="s">
        <v>1438</v>
      </c>
    </row>
    <row r="374" spans="1:9" ht="89.25" x14ac:dyDescent="0.25">
      <c r="A374" s="32" t="s">
        <v>930</v>
      </c>
      <c r="B374" s="31" t="s">
        <v>929</v>
      </c>
      <c r="C374" s="31" t="s">
        <v>211</v>
      </c>
      <c r="D374" s="31" t="s">
        <v>1544</v>
      </c>
      <c r="E374" s="31">
        <v>16</v>
      </c>
      <c r="F374" s="31">
        <v>16</v>
      </c>
      <c r="G374" s="9">
        <v>0</v>
      </c>
      <c r="H374" s="7" t="s">
        <v>1127</v>
      </c>
      <c r="I374" s="7" t="s">
        <v>1438</v>
      </c>
    </row>
    <row r="375" spans="1:9" ht="216.75" x14ac:dyDescent="0.25">
      <c r="A375" s="32" t="s">
        <v>930</v>
      </c>
      <c r="B375" s="31" t="s">
        <v>929</v>
      </c>
      <c r="C375" s="31" t="s">
        <v>211</v>
      </c>
      <c r="D375" s="31" t="s">
        <v>1544</v>
      </c>
      <c r="E375" s="31">
        <v>19</v>
      </c>
      <c r="F375" s="31">
        <v>21</v>
      </c>
      <c r="G375" s="9">
        <v>0</v>
      </c>
      <c r="H375" s="7" t="s">
        <v>1125</v>
      </c>
      <c r="I375" s="7" t="s">
        <v>1438</v>
      </c>
    </row>
    <row r="376" spans="1:9" ht="331.5" x14ac:dyDescent="0.25">
      <c r="A376" s="32" t="s">
        <v>930</v>
      </c>
      <c r="B376" s="31" t="s">
        <v>929</v>
      </c>
      <c r="C376" s="31" t="s">
        <v>211</v>
      </c>
      <c r="D376" s="31" t="s">
        <v>1544</v>
      </c>
      <c r="E376" s="31">
        <v>28</v>
      </c>
      <c r="F376" s="31">
        <v>31</v>
      </c>
      <c r="G376" s="9">
        <v>0</v>
      </c>
      <c r="H376" s="7" t="s">
        <v>1124</v>
      </c>
      <c r="I376" s="7" t="s">
        <v>1438</v>
      </c>
    </row>
    <row r="377" spans="1:9" ht="306" x14ac:dyDescent="0.25">
      <c r="A377" s="32" t="s">
        <v>930</v>
      </c>
      <c r="B377" s="31" t="s">
        <v>929</v>
      </c>
      <c r="C377" s="31" t="s">
        <v>446</v>
      </c>
      <c r="D377" s="31" t="s">
        <v>1544</v>
      </c>
      <c r="E377" s="31">
        <v>4</v>
      </c>
      <c r="F377" s="31">
        <v>6</v>
      </c>
      <c r="G377" s="9">
        <v>0</v>
      </c>
      <c r="H377" s="7" t="s">
        <v>1118</v>
      </c>
      <c r="I377" s="7" t="s">
        <v>1438</v>
      </c>
    </row>
    <row r="378" spans="1:9" ht="318.75" x14ac:dyDescent="0.25">
      <c r="A378" s="32" t="s">
        <v>930</v>
      </c>
      <c r="B378" s="31" t="s">
        <v>929</v>
      </c>
      <c r="C378" s="31" t="s">
        <v>446</v>
      </c>
      <c r="D378" s="31" t="s">
        <v>1544</v>
      </c>
      <c r="E378" s="31">
        <v>8</v>
      </c>
      <c r="F378" s="31">
        <v>10</v>
      </c>
      <c r="G378" s="9">
        <v>0</v>
      </c>
      <c r="H378" s="7" t="s">
        <v>1117</v>
      </c>
      <c r="I378" s="7" t="s">
        <v>1438</v>
      </c>
    </row>
    <row r="379" spans="1:9" ht="165.75" x14ac:dyDescent="0.25">
      <c r="A379" s="32" t="s">
        <v>930</v>
      </c>
      <c r="B379" s="31" t="s">
        <v>929</v>
      </c>
      <c r="C379" s="31" t="s">
        <v>446</v>
      </c>
      <c r="D379" s="31" t="s">
        <v>1544</v>
      </c>
      <c r="E379" s="31">
        <v>12</v>
      </c>
      <c r="F379" s="31">
        <v>12</v>
      </c>
      <c r="G379" s="9">
        <v>0</v>
      </c>
      <c r="H379" s="7" t="s">
        <v>1116</v>
      </c>
      <c r="I379" s="7" t="s">
        <v>1438</v>
      </c>
    </row>
    <row r="380" spans="1:9" ht="191.25" x14ac:dyDescent="0.25">
      <c r="A380" s="32" t="s">
        <v>930</v>
      </c>
      <c r="B380" s="31" t="s">
        <v>929</v>
      </c>
      <c r="C380" s="31" t="s">
        <v>446</v>
      </c>
      <c r="D380" s="31" t="s">
        <v>1544</v>
      </c>
      <c r="E380" s="31">
        <v>13</v>
      </c>
      <c r="F380" s="31">
        <v>13</v>
      </c>
      <c r="G380" s="9">
        <v>0</v>
      </c>
      <c r="H380" s="7" t="s">
        <v>1115</v>
      </c>
      <c r="I380" s="7" t="s">
        <v>1438</v>
      </c>
    </row>
    <row r="381" spans="1:9" ht="216.75" x14ac:dyDescent="0.25">
      <c r="A381" s="32" t="s">
        <v>930</v>
      </c>
      <c r="B381" s="31" t="s">
        <v>929</v>
      </c>
      <c r="C381" s="31" t="s">
        <v>446</v>
      </c>
      <c r="D381" s="31" t="s">
        <v>1544</v>
      </c>
      <c r="E381" s="31">
        <v>15</v>
      </c>
      <c r="F381" s="31">
        <v>15</v>
      </c>
      <c r="G381" s="9">
        <v>0</v>
      </c>
      <c r="H381" s="7" t="s">
        <v>1114</v>
      </c>
      <c r="I381" s="7" t="s">
        <v>1438</v>
      </c>
    </row>
    <row r="382" spans="1:9" ht="409.5" x14ac:dyDescent="0.25">
      <c r="A382" s="32" t="s">
        <v>930</v>
      </c>
      <c r="B382" s="31" t="s">
        <v>929</v>
      </c>
      <c r="C382" s="31" t="s">
        <v>446</v>
      </c>
      <c r="D382" s="31" t="s">
        <v>1544</v>
      </c>
      <c r="E382" s="31">
        <v>16</v>
      </c>
      <c r="F382" s="31">
        <v>19</v>
      </c>
      <c r="G382" s="9">
        <v>0</v>
      </c>
      <c r="H382" s="7" t="s">
        <v>1510</v>
      </c>
      <c r="I382" s="7" t="s">
        <v>1438</v>
      </c>
    </row>
    <row r="383" spans="1:9" ht="395.25" x14ac:dyDescent="0.25">
      <c r="A383" s="32" t="s">
        <v>930</v>
      </c>
      <c r="B383" s="31" t="s">
        <v>929</v>
      </c>
      <c r="C383" s="31" t="s">
        <v>446</v>
      </c>
      <c r="D383" s="31" t="s">
        <v>1544</v>
      </c>
      <c r="E383" s="31">
        <v>21</v>
      </c>
      <c r="F383" s="31">
        <v>23</v>
      </c>
      <c r="G383" s="9">
        <v>0</v>
      </c>
      <c r="H383" s="7" t="s">
        <v>1112</v>
      </c>
      <c r="I383" s="7" t="s">
        <v>1438</v>
      </c>
    </row>
    <row r="384" spans="1:9" ht="127.5" x14ac:dyDescent="0.25">
      <c r="A384" s="32" t="s">
        <v>930</v>
      </c>
      <c r="B384" s="31" t="s">
        <v>929</v>
      </c>
      <c r="C384" s="31" t="s">
        <v>446</v>
      </c>
      <c r="D384" s="31" t="s">
        <v>1544</v>
      </c>
      <c r="E384" s="31">
        <v>25</v>
      </c>
      <c r="F384" s="31">
        <v>25</v>
      </c>
      <c r="G384" s="9">
        <v>0</v>
      </c>
      <c r="H384" s="7" t="s">
        <v>1111</v>
      </c>
      <c r="I384" s="7" t="s">
        <v>1438</v>
      </c>
    </row>
    <row r="385" spans="1:9" ht="153" x14ac:dyDescent="0.25">
      <c r="A385" s="32" t="s">
        <v>930</v>
      </c>
      <c r="B385" s="31" t="s">
        <v>929</v>
      </c>
      <c r="C385" s="31" t="s">
        <v>446</v>
      </c>
      <c r="D385" s="31" t="s">
        <v>1544</v>
      </c>
      <c r="E385" s="31">
        <v>26</v>
      </c>
      <c r="F385" s="31">
        <v>26</v>
      </c>
      <c r="G385" s="9">
        <v>0</v>
      </c>
      <c r="H385" s="7" t="s">
        <v>1110</v>
      </c>
      <c r="I385" s="7" t="s">
        <v>1438</v>
      </c>
    </row>
    <row r="386" spans="1:9" ht="127.5" x14ac:dyDescent="0.25">
      <c r="A386" s="32" t="s">
        <v>930</v>
      </c>
      <c r="B386" s="31" t="s">
        <v>929</v>
      </c>
      <c r="C386" s="31" t="s">
        <v>446</v>
      </c>
      <c r="D386" s="31" t="s">
        <v>1544</v>
      </c>
      <c r="E386" s="31">
        <v>27</v>
      </c>
      <c r="F386" s="31">
        <v>27</v>
      </c>
      <c r="G386" s="9">
        <v>0</v>
      </c>
      <c r="H386" s="7" t="s">
        <v>1109</v>
      </c>
      <c r="I386" s="7" t="s">
        <v>1438</v>
      </c>
    </row>
    <row r="387" spans="1:9" ht="140.25" x14ac:dyDescent="0.25">
      <c r="A387" s="32" t="s">
        <v>930</v>
      </c>
      <c r="B387" s="31" t="s">
        <v>929</v>
      </c>
      <c r="C387" s="31" t="s">
        <v>246</v>
      </c>
      <c r="D387" s="31" t="s">
        <v>1544</v>
      </c>
      <c r="E387" s="31">
        <v>4</v>
      </c>
      <c r="F387" s="31">
        <v>4</v>
      </c>
      <c r="G387" s="9">
        <v>0</v>
      </c>
      <c r="H387" s="7" t="s">
        <v>1102</v>
      </c>
      <c r="I387" s="7" t="s">
        <v>1438</v>
      </c>
    </row>
    <row r="388" spans="1:9" ht="140.25" x14ac:dyDescent="0.25">
      <c r="A388" s="32" t="s">
        <v>930</v>
      </c>
      <c r="B388" s="31" t="s">
        <v>929</v>
      </c>
      <c r="C388" s="31" t="s">
        <v>246</v>
      </c>
      <c r="D388" s="31" t="s">
        <v>1544</v>
      </c>
      <c r="E388" s="31">
        <v>6</v>
      </c>
      <c r="F388" s="31">
        <v>6</v>
      </c>
      <c r="G388" s="9">
        <v>0</v>
      </c>
      <c r="H388" s="7" t="s">
        <v>1101</v>
      </c>
      <c r="I388" s="7" t="s">
        <v>1438</v>
      </c>
    </row>
    <row r="389" spans="1:9" ht="191.25" x14ac:dyDescent="0.25">
      <c r="A389" s="32" t="s">
        <v>930</v>
      </c>
      <c r="B389" s="31" t="s">
        <v>929</v>
      </c>
      <c r="C389" s="31" t="s">
        <v>246</v>
      </c>
      <c r="D389" s="31" t="s">
        <v>1544</v>
      </c>
      <c r="E389" s="31">
        <v>22</v>
      </c>
      <c r="F389" s="31">
        <v>22</v>
      </c>
      <c r="G389" s="9">
        <v>0</v>
      </c>
      <c r="H389" s="7" t="s">
        <v>1098</v>
      </c>
      <c r="I389" s="7" t="s">
        <v>1438</v>
      </c>
    </row>
    <row r="390" spans="1:9" ht="255" x14ac:dyDescent="0.25">
      <c r="A390" s="32" t="s">
        <v>930</v>
      </c>
      <c r="B390" s="31" t="s">
        <v>929</v>
      </c>
      <c r="C390" s="31" t="s">
        <v>246</v>
      </c>
      <c r="D390" s="31" t="s">
        <v>1544</v>
      </c>
      <c r="E390" s="31">
        <v>23</v>
      </c>
      <c r="F390" s="31">
        <v>24</v>
      </c>
      <c r="G390" s="9">
        <v>0</v>
      </c>
      <c r="H390" s="7" t="s">
        <v>1097</v>
      </c>
      <c r="I390" s="7" t="s">
        <v>1438</v>
      </c>
    </row>
    <row r="391" spans="1:9" ht="114.75" x14ac:dyDescent="0.25">
      <c r="A391" s="32" t="s">
        <v>930</v>
      </c>
      <c r="B391" s="31" t="s">
        <v>929</v>
      </c>
      <c r="C391" s="31" t="s">
        <v>603</v>
      </c>
      <c r="D391" s="31" t="s">
        <v>1544</v>
      </c>
      <c r="E391" s="31">
        <v>16</v>
      </c>
      <c r="F391" s="31">
        <v>16</v>
      </c>
      <c r="G391" s="9">
        <v>0</v>
      </c>
      <c r="H391" s="7" t="s">
        <v>1088</v>
      </c>
      <c r="I391" s="7" t="s">
        <v>1438</v>
      </c>
    </row>
    <row r="392" spans="1:9" ht="140.25" x14ac:dyDescent="0.25">
      <c r="A392" s="32" t="s">
        <v>930</v>
      </c>
      <c r="B392" s="31" t="s">
        <v>929</v>
      </c>
      <c r="C392" s="31" t="s">
        <v>603</v>
      </c>
      <c r="D392" s="31" t="s">
        <v>1544</v>
      </c>
      <c r="E392" s="31">
        <v>28</v>
      </c>
      <c r="F392" s="31">
        <v>28</v>
      </c>
      <c r="G392" s="9">
        <v>0</v>
      </c>
      <c r="H392" s="7" t="s">
        <v>1087</v>
      </c>
      <c r="I392" s="7" t="s">
        <v>1438</v>
      </c>
    </row>
    <row r="393" spans="1:9" ht="102" x14ac:dyDescent="0.25">
      <c r="A393" s="32" t="s">
        <v>930</v>
      </c>
      <c r="B393" s="31" t="s">
        <v>929</v>
      </c>
      <c r="C393" s="31" t="s">
        <v>234</v>
      </c>
      <c r="D393" s="31" t="s">
        <v>1544</v>
      </c>
      <c r="E393" s="31">
        <v>7</v>
      </c>
      <c r="F393" s="31">
        <v>7</v>
      </c>
      <c r="G393" s="9">
        <v>0</v>
      </c>
      <c r="H393" s="7" t="s">
        <v>1084</v>
      </c>
      <c r="I393" s="7" t="s">
        <v>1438</v>
      </c>
    </row>
    <row r="394" spans="1:9" ht="293.25" x14ac:dyDescent="0.25">
      <c r="A394" s="32" t="s">
        <v>930</v>
      </c>
      <c r="B394" s="31" t="s">
        <v>929</v>
      </c>
      <c r="C394" s="31" t="s">
        <v>234</v>
      </c>
      <c r="D394" s="31" t="s">
        <v>1544</v>
      </c>
      <c r="E394" s="31">
        <v>11</v>
      </c>
      <c r="F394" s="31">
        <v>13</v>
      </c>
      <c r="G394" s="9">
        <v>0</v>
      </c>
      <c r="H394" s="7" t="s">
        <v>1083</v>
      </c>
      <c r="I394" s="7" t="s">
        <v>1438</v>
      </c>
    </row>
    <row r="395" spans="1:9" ht="89.25" x14ac:dyDescent="0.25">
      <c r="A395" s="32" t="s">
        <v>930</v>
      </c>
      <c r="B395" s="31" t="s">
        <v>929</v>
      </c>
      <c r="C395" s="31" t="s">
        <v>234</v>
      </c>
      <c r="D395" s="31" t="s">
        <v>1544</v>
      </c>
      <c r="E395" s="31">
        <v>19</v>
      </c>
      <c r="F395" s="31">
        <v>19</v>
      </c>
      <c r="G395" s="9">
        <v>0</v>
      </c>
      <c r="H395" s="7" t="s">
        <v>1081</v>
      </c>
      <c r="I395" s="7" t="s">
        <v>1438</v>
      </c>
    </row>
    <row r="396" spans="1:9" ht="76.5" x14ac:dyDescent="0.25">
      <c r="A396" s="32" t="s">
        <v>930</v>
      </c>
      <c r="B396" s="31" t="s">
        <v>929</v>
      </c>
      <c r="C396" s="31" t="s">
        <v>234</v>
      </c>
      <c r="D396" s="31" t="s">
        <v>1544</v>
      </c>
      <c r="E396" s="31">
        <v>21</v>
      </c>
      <c r="F396" s="31">
        <v>21</v>
      </c>
      <c r="G396" s="9">
        <v>0</v>
      </c>
      <c r="H396" s="7" t="s">
        <v>1080</v>
      </c>
      <c r="I396" s="7" t="s">
        <v>1438</v>
      </c>
    </row>
    <row r="397" spans="1:9" ht="204" x14ac:dyDescent="0.25">
      <c r="A397" s="32" t="s">
        <v>930</v>
      </c>
      <c r="B397" s="31" t="s">
        <v>929</v>
      </c>
      <c r="C397" s="31" t="s">
        <v>234</v>
      </c>
      <c r="D397" s="31" t="s">
        <v>1544</v>
      </c>
      <c r="E397" s="31">
        <v>24</v>
      </c>
      <c r="F397" s="31">
        <v>25</v>
      </c>
      <c r="G397" s="9">
        <v>0</v>
      </c>
      <c r="H397" s="7" t="s">
        <v>1079</v>
      </c>
      <c r="I397" s="7" t="s">
        <v>1438</v>
      </c>
    </row>
    <row r="398" spans="1:9" ht="216.75" x14ac:dyDescent="0.25">
      <c r="A398" s="32" t="s">
        <v>930</v>
      </c>
      <c r="B398" s="31" t="s">
        <v>929</v>
      </c>
      <c r="C398" s="31" t="s">
        <v>234</v>
      </c>
      <c r="D398" s="31" t="s">
        <v>1544</v>
      </c>
      <c r="E398" s="31">
        <v>31</v>
      </c>
      <c r="F398" s="31">
        <v>31</v>
      </c>
      <c r="G398" s="9">
        <v>0</v>
      </c>
      <c r="H398" s="7" t="s">
        <v>1076</v>
      </c>
      <c r="I398" s="7" t="s">
        <v>1438</v>
      </c>
    </row>
    <row r="399" spans="1:9" ht="204" x14ac:dyDescent="0.25">
      <c r="A399" s="32" t="s">
        <v>930</v>
      </c>
      <c r="B399" s="31" t="s">
        <v>929</v>
      </c>
      <c r="C399" s="31" t="s">
        <v>616</v>
      </c>
      <c r="D399" s="31" t="s">
        <v>1544</v>
      </c>
      <c r="E399" s="31">
        <v>30</v>
      </c>
      <c r="F399" s="31">
        <v>30</v>
      </c>
      <c r="G399" s="9">
        <v>0</v>
      </c>
      <c r="H399" s="7" t="s">
        <v>1069</v>
      </c>
      <c r="I399" s="7" t="s">
        <v>1438</v>
      </c>
    </row>
    <row r="400" spans="1:9" ht="63.75" x14ac:dyDescent="0.25">
      <c r="A400" s="32" t="s">
        <v>930</v>
      </c>
      <c r="B400" s="31" t="s">
        <v>929</v>
      </c>
      <c r="C400" s="31" t="s">
        <v>616</v>
      </c>
      <c r="D400" s="31" t="s">
        <v>1544</v>
      </c>
      <c r="E400" s="31">
        <v>35</v>
      </c>
      <c r="F400" s="31">
        <v>35</v>
      </c>
      <c r="G400" s="9">
        <v>0</v>
      </c>
      <c r="H400" s="7" t="s">
        <v>1066</v>
      </c>
      <c r="I400" s="7" t="s">
        <v>1438</v>
      </c>
    </row>
    <row r="401" spans="1:9" ht="178.5" x14ac:dyDescent="0.25">
      <c r="A401" s="32" t="s">
        <v>930</v>
      </c>
      <c r="B401" s="31" t="s">
        <v>929</v>
      </c>
      <c r="C401" s="31" t="s">
        <v>128</v>
      </c>
      <c r="D401" s="31" t="s">
        <v>1544</v>
      </c>
      <c r="E401" s="31">
        <v>38</v>
      </c>
      <c r="F401" s="31">
        <v>40</v>
      </c>
      <c r="G401" s="9">
        <v>0</v>
      </c>
      <c r="H401" s="7" t="s">
        <v>1059</v>
      </c>
      <c r="I401" s="7" t="s">
        <v>1438</v>
      </c>
    </row>
    <row r="402" spans="1:9" ht="140.25" x14ac:dyDescent="0.25">
      <c r="A402" s="32" t="s">
        <v>930</v>
      </c>
      <c r="B402" s="31" t="s">
        <v>929</v>
      </c>
      <c r="C402" s="31" t="s">
        <v>716</v>
      </c>
      <c r="D402" s="31" t="s">
        <v>1544</v>
      </c>
      <c r="E402" s="31">
        <v>15</v>
      </c>
      <c r="F402" s="31">
        <v>15</v>
      </c>
      <c r="G402" s="9">
        <v>0</v>
      </c>
      <c r="H402" s="7" t="s">
        <v>1054</v>
      </c>
      <c r="I402" s="7" t="s">
        <v>1438</v>
      </c>
    </row>
    <row r="403" spans="1:9" ht="242.25" x14ac:dyDescent="0.25">
      <c r="A403" s="32" t="s">
        <v>930</v>
      </c>
      <c r="B403" s="31" t="s">
        <v>929</v>
      </c>
      <c r="C403" s="31" t="s">
        <v>716</v>
      </c>
      <c r="D403" s="31" t="s">
        <v>1544</v>
      </c>
      <c r="E403" s="31">
        <v>29</v>
      </c>
      <c r="F403" s="31">
        <v>30</v>
      </c>
      <c r="G403" s="9">
        <v>0</v>
      </c>
      <c r="H403" s="7" t="s">
        <v>1049</v>
      </c>
      <c r="I403" s="7" t="s">
        <v>1438</v>
      </c>
    </row>
    <row r="404" spans="1:9" ht="76.5" x14ac:dyDescent="0.25">
      <c r="A404" s="32" t="s">
        <v>930</v>
      </c>
      <c r="B404" s="31" t="s">
        <v>929</v>
      </c>
      <c r="C404" s="31" t="s">
        <v>716</v>
      </c>
      <c r="D404" s="31" t="s">
        <v>1544</v>
      </c>
      <c r="E404" s="31">
        <v>34</v>
      </c>
      <c r="F404" s="31">
        <v>34</v>
      </c>
      <c r="G404" s="9">
        <v>0</v>
      </c>
      <c r="H404" s="7" t="s">
        <v>1512</v>
      </c>
      <c r="I404" s="7" t="s">
        <v>1438</v>
      </c>
    </row>
    <row r="405" spans="1:9" ht="89.25" x14ac:dyDescent="0.25">
      <c r="A405" s="32" t="s">
        <v>930</v>
      </c>
      <c r="B405" s="31" t="s">
        <v>929</v>
      </c>
      <c r="C405" s="31" t="s">
        <v>553</v>
      </c>
      <c r="D405" s="31" t="s">
        <v>1544</v>
      </c>
      <c r="E405" s="31">
        <v>13</v>
      </c>
      <c r="F405" s="31">
        <v>13</v>
      </c>
      <c r="G405" s="9">
        <v>0</v>
      </c>
      <c r="H405" s="7" t="s">
        <v>1040</v>
      </c>
      <c r="I405" s="7" t="s">
        <v>1438</v>
      </c>
    </row>
    <row r="406" spans="1:9" ht="114.75" x14ac:dyDescent="0.25">
      <c r="A406" s="32" t="s">
        <v>930</v>
      </c>
      <c r="B406" s="31" t="s">
        <v>929</v>
      </c>
      <c r="C406" s="31" t="s">
        <v>693</v>
      </c>
      <c r="D406" s="31" t="s">
        <v>1544</v>
      </c>
      <c r="E406" s="31">
        <v>13</v>
      </c>
      <c r="F406" s="31">
        <v>13</v>
      </c>
      <c r="G406" s="9">
        <v>0</v>
      </c>
      <c r="H406" s="7" t="s">
        <v>1033</v>
      </c>
      <c r="I406" s="7" t="s">
        <v>1438</v>
      </c>
    </row>
    <row r="407" spans="1:9" ht="76.5" x14ac:dyDescent="0.25">
      <c r="A407" s="32" t="s">
        <v>930</v>
      </c>
      <c r="B407" s="31" t="s">
        <v>929</v>
      </c>
      <c r="C407" s="31" t="s">
        <v>693</v>
      </c>
      <c r="D407" s="31" t="s">
        <v>1544</v>
      </c>
      <c r="E407" s="31">
        <v>17</v>
      </c>
      <c r="F407" s="31">
        <v>17</v>
      </c>
      <c r="G407" s="9">
        <v>0</v>
      </c>
      <c r="H407" s="7" t="s">
        <v>1032</v>
      </c>
      <c r="I407" s="7" t="s">
        <v>1438</v>
      </c>
    </row>
    <row r="408" spans="1:9" ht="102" x14ac:dyDescent="0.25">
      <c r="A408" s="32" t="s">
        <v>930</v>
      </c>
      <c r="B408" s="31" t="s">
        <v>929</v>
      </c>
      <c r="C408" s="31" t="s">
        <v>693</v>
      </c>
      <c r="D408" s="31" t="s">
        <v>1544</v>
      </c>
      <c r="E408" s="31">
        <v>20</v>
      </c>
      <c r="F408" s="31">
        <v>20</v>
      </c>
      <c r="G408" s="9">
        <v>0</v>
      </c>
      <c r="H408" s="7" t="s">
        <v>1031</v>
      </c>
      <c r="I408" s="7" t="s">
        <v>1438</v>
      </c>
    </row>
    <row r="409" spans="1:9" ht="267.75" x14ac:dyDescent="0.25">
      <c r="A409" s="32" t="s">
        <v>930</v>
      </c>
      <c r="B409" s="31" t="s">
        <v>929</v>
      </c>
      <c r="C409" s="31" t="s">
        <v>693</v>
      </c>
      <c r="D409" s="31" t="s">
        <v>1544</v>
      </c>
      <c r="E409" s="31">
        <v>23</v>
      </c>
      <c r="F409" s="31">
        <v>25</v>
      </c>
      <c r="G409" s="9">
        <v>0</v>
      </c>
      <c r="H409" s="7" t="s">
        <v>1029</v>
      </c>
      <c r="I409" s="7" t="s">
        <v>1438</v>
      </c>
    </row>
    <row r="410" spans="1:9" ht="102" x14ac:dyDescent="0.25">
      <c r="A410" s="32" t="s">
        <v>930</v>
      </c>
      <c r="B410" s="31" t="s">
        <v>929</v>
      </c>
      <c r="C410" s="31" t="s">
        <v>693</v>
      </c>
      <c r="D410" s="31" t="s">
        <v>1544</v>
      </c>
      <c r="E410" s="31">
        <v>34</v>
      </c>
      <c r="F410" s="31">
        <v>34</v>
      </c>
      <c r="G410" s="9">
        <v>0</v>
      </c>
      <c r="H410" s="7" t="s">
        <v>1028</v>
      </c>
      <c r="I410" s="7" t="s">
        <v>1438</v>
      </c>
    </row>
    <row r="411" spans="1:9" ht="255" x14ac:dyDescent="0.25">
      <c r="A411" s="32" t="s">
        <v>930</v>
      </c>
      <c r="B411" s="31" t="s">
        <v>929</v>
      </c>
      <c r="C411" s="31" t="s">
        <v>224</v>
      </c>
      <c r="D411" s="31" t="s">
        <v>1544</v>
      </c>
      <c r="E411" s="31">
        <v>5</v>
      </c>
      <c r="F411" s="31">
        <v>6</v>
      </c>
      <c r="G411" s="9">
        <v>0</v>
      </c>
      <c r="H411" s="7" t="s">
        <v>1014</v>
      </c>
      <c r="I411" s="7" t="s">
        <v>1438</v>
      </c>
    </row>
    <row r="412" spans="1:9" ht="204" x14ac:dyDescent="0.25">
      <c r="A412" s="32" t="s">
        <v>930</v>
      </c>
      <c r="B412" s="31" t="s">
        <v>929</v>
      </c>
      <c r="C412" s="31" t="s">
        <v>224</v>
      </c>
      <c r="D412" s="31" t="s">
        <v>1544</v>
      </c>
      <c r="E412" s="31">
        <v>20</v>
      </c>
      <c r="F412" s="31">
        <v>20</v>
      </c>
      <c r="G412" s="9">
        <v>0</v>
      </c>
      <c r="H412" s="7" t="s">
        <v>1006</v>
      </c>
      <c r="I412" s="7" t="s">
        <v>1438</v>
      </c>
    </row>
    <row r="413" spans="1:9" ht="140.25" x14ac:dyDescent="0.25">
      <c r="A413" s="32" t="s">
        <v>930</v>
      </c>
      <c r="B413" s="31" t="s">
        <v>929</v>
      </c>
      <c r="C413" s="31" t="s">
        <v>454</v>
      </c>
      <c r="D413" s="31" t="s">
        <v>1544</v>
      </c>
      <c r="E413" s="31">
        <v>5</v>
      </c>
      <c r="F413" s="31">
        <v>5</v>
      </c>
      <c r="G413" s="9">
        <v>0</v>
      </c>
      <c r="H413" s="7" t="s">
        <v>1002</v>
      </c>
      <c r="I413" s="7" t="s">
        <v>1438</v>
      </c>
    </row>
    <row r="414" spans="1:9" ht="306" x14ac:dyDescent="0.25">
      <c r="A414" s="32" t="s">
        <v>930</v>
      </c>
      <c r="B414" s="31" t="s">
        <v>929</v>
      </c>
      <c r="C414" s="31" t="s">
        <v>143</v>
      </c>
      <c r="D414" s="31" t="s">
        <v>1544</v>
      </c>
      <c r="E414" s="31">
        <v>4</v>
      </c>
      <c r="F414" s="31">
        <v>6</v>
      </c>
      <c r="G414" s="9">
        <v>0</v>
      </c>
      <c r="H414" s="7" t="s">
        <v>994</v>
      </c>
      <c r="I414" s="7" t="s">
        <v>1438</v>
      </c>
    </row>
    <row r="415" spans="1:9" ht="242.25" x14ac:dyDescent="0.25">
      <c r="A415" s="32" t="s">
        <v>930</v>
      </c>
      <c r="B415" s="31" t="s">
        <v>929</v>
      </c>
      <c r="C415" s="31" t="s">
        <v>143</v>
      </c>
      <c r="D415" s="31" t="s">
        <v>1544</v>
      </c>
      <c r="E415" s="31">
        <v>14</v>
      </c>
      <c r="F415" s="31">
        <v>15</v>
      </c>
      <c r="G415" s="9">
        <v>0</v>
      </c>
      <c r="H415" s="7" t="s">
        <v>993</v>
      </c>
      <c r="I415" s="7" t="s">
        <v>1438</v>
      </c>
    </row>
    <row r="416" spans="1:9" ht="165.75" x14ac:dyDescent="0.25">
      <c r="A416" s="32" t="s">
        <v>930</v>
      </c>
      <c r="B416" s="31" t="s">
        <v>929</v>
      </c>
      <c r="C416" s="31" t="s">
        <v>143</v>
      </c>
      <c r="D416" s="31" t="s">
        <v>1544</v>
      </c>
      <c r="E416" s="31">
        <v>18</v>
      </c>
      <c r="F416" s="31">
        <v>18</v>
      </c>
      <c r="G416" s="9">
        <v>0</v>
      </c>
      <c r="H416" s="7" t="s">
        <v>992</v>
      </c>
      <c r="I416" s="7" t="s">
        <v>1438</v>
      </c>
    </row>
    <row r="417" spans="1:9" ht="306" x14ac:dyDescent="0.25">
      <c r="A417" s="32" t="s">
        <v>930</v>
      </c>
      <c r="B417" s="31" t="s">
        <v>929</v>
      </c>
      <c r="C417" s="31" t="s">
        <v>143</v>
      </c>
      <c r="D417" s="31" t="s">
        <v>1544</v>
      </c>
      <c r="E417" s="31">
        <v>20</v>
      </c>
      <c r="F417" s="31">
        <v>22</v>
      </c>
      <c r="G417" s="9">
        <v>0</v>
      </c>
      <c r="H417" s="7" t="s">
        <v>991</v>
      </c>
      <c r="I417" s="7" t="s">
        <v>1438</v>
      </c>
    </row>
    <row r="418" spans="1:9" ht="280.5" x14ac:dyDescent="0.25">
      <c r="A418" s="32" t="s">
        <v>930</v>
      </c>
      <c r="B418" s="31" t="s">
        <v>929</v>
      </c>
      <c r="C418" s="31" t="s">
        <v>143</v>
      </c>
      <c r="D418" s="31" t="s">
        <v>1544</v>
      </c>
      <c r="E418" s="31">
        <v>24</v>
      </c>
      <c r="F418" s="31">
        <v>24</v>
      </c>
      <c r="G418" s="9">
        <v>0</v>
      </c>
      <c r="H418" s="7" t="s">
        <v>990</v>
      </c>
      <c r="I418" s="7" t="s">
        <v>1438</v>
      </c>
    </row>
    <row r="419" spans="1:9" ht="229.5" x14ac:dyDescent="0.25">
      <c r="A419" s="32" t="s">
        <v>930</v>
      </c>
      <c r="B419" s="31" t="s">
        <v>929</v>
      </c>
      <c r="C419" s="31" t="s">
        <v>143</v>
      </c>
      <c r="D419" s="31" t="s">
        <v>1544</v>
      </c>
      <c r="E419" s="31">
        <v>28</v>
      </c>
      <c r="F419" s="31">
        <v>28</v>
      </c>
      <c r="G419" s="9">
        <v>0</v>
      </c>
      <c r="H419" s="7" t="s">
        <v>989</v>
      </c>
      <c r="I419" s="7" t="s">
        <v>1438</v>
      </c>
    </row>
    <row r="420" spans="1:9" ht="242.25" x14ac:dyDescent="0.25">
      <c r="A420" s="32" t="s">
        <v>930</v>
      </c>
      <c r="B420" s="31" t="s">
        <v>929</v>
      </c>
      <c r="C420" s="31" t="s">
        <v>143</v>
      </c>
      <c r="D420" s="31" t="s">
        <v>1544</v>
      </c>
      <c r="E420" s="31">
        <v>32</v>
      </c>
      <c r="F420" s="31">
        <v>32</v>
      </c>
      <c r="G420" s="9">
        <v>0</v>
      </c>
      <c r="H420" s="7" t="s">
        <v>988</v>
      </c>
      <c r="I420" s="7" t="s">
        <v>1438</v>
      </c>
    </row>
    <row r="421" spans="1:9" ht="216.75" x14ac:dyDescent="0.25">
      <c r="A421" s="32" t="s">
        <v>930</v>
      </c>
      <c r="B421" s="31" t="s">
        <v>929</v>
      </c>
      <c r="C421" s="31" t="s">
        <v>664</v>
      </c>
      <c r="D421" s="31" t="s">
        <v>1544</v>
      </c>
      <c r="E421" s="31">
        <v>9</v>
      </c>
      <c r="F421" s="31">
        <v>12</v>
      </c>
      <c r="G421" s="9">
        <v>0</v>
      </c>
      <c r="H421" s="7" t="s">
        <v>986</v>
      </c>
      <c r="I421" s="7" t="s">
        <v>1438</v>
      </c>
    </row>
    <row r="422" spans="1:9" ht="140.25" x14ac:dyDescent="0.25">
      <c r="A422" s="32" t="s">
        <v>930</v>
      </c>
      <c r="B422" s="31" t="s">
        <v>929</v>
      </c>
      <c r="C422" s="31" t="s">
        <v>295</v>
      </c>
      <c r="D422" s="31" t="s">
        <v>1544</v>
      </c>
      <c r="E422" s="31">
        <v>17</v>
      </c>
      <c r="F422" s="31">
        <v>17</v>
      </c>
      <c r="G422" s="9">
        <v>0</v>
      </c>
      <c r="H422" s="7" t="s">
        <v>978</v>
      </c>
      <c r="I422" s="7" t="s">
        <v>1438</v>
      </c>
    </row>
    <row r="423" spans="1:9" ht="51" x14ac:dyDescent="0.25">
      <c r="A423" s="32" t="s">
        <v>930</v>
      </c>
      <c r="B423" s="31" t="s">
        <v>929</v>
      </c>
      <c r="C423" s="31" t="s">
        <v>574</v>
      </c>
      <c r="D423" s="31" t="s">
        <v>1544</v>
      </c>
      <c r="E423" s="31">
        <v>16</v>
      </c>
      <c r="F423" s="31">
        <v>16</v>
      </c>
      <c r="G423" s="9">
        <v>0</v>
      </c>
      <c r="H423" s="7" t="s">
        <v>972</v>
      </c>
      <c r="I423" s="7" t="s">
        <v>1438</v>
      </c>
    </row>
    <row r="424" spans="1:9" ht="127.5" x14ac:dyDescent="0.25">
      <c r="A424" s="32" t="s">
        <v>930</v>
      </c>
      <c r="B424" s="31" t="s">
        <v>929</v>
      </c>
      <c r="C424" s="31" t="s">
        <v>465</v>
      </c>
      <c r="D424" s="31" t="s">
        <v>1544</v>
      </c>
      <c r="E424" s="31">
        <v>21</v>
      </c>
      <c r="F424" s="31">
        <v>21</v>
      </c>
      <c r="G424" s="9">
        <v>0</v>
      </c>
      <c r="H424" s="7" t="s">
        <v>966</v>
      </c>
      <c r="I424" s="7" t="s">
        <v>1438</v>
      </c>
    </row>
    <row r="425" spans="1:9" ht="102" x14ac:dyDescent="0.25">
      <c r="A425" s="32" t="s">
        <v>930</v>
      </c>
      <c r="B425" s="31" t="s">
        <v>929</v>
      </c>
      <c r="C425" s="31" t="s">
        <v>465</v>
      </c>
      <c r="D425" s="31" t="s">
        <v>1544</v>
      </c>
      <c r="E425" s="31">
        <v>28</v>
      </c>
      <c r="F425" s="31">
        <v>28</v>
      </c>
      <c r="G425" s="9">
        <v>0</v>
      </c>
      <c r="H425" s="7" t="s">
        <v>965</v>
      </c>
      <c r="I425" s="7" t="s">
        <v>1438</v>
      </c>
    </row>
    <row r="426" spans="1:9" ht="102" x14ac:dyDescent="0.25">
      <c r="A426" s="32" t="s">
        <v>930</v>
      </c>
      <c r="B426" s="31" t="s">
        <v>929</v>
      </c>
      <c r="C426" s="31" t="s">
        <v>465</v>
      </c>
      <c r="D426" s="31" t="s">
        <v>1544</v>
      </c>
      <c r="E426" s="31">
        <v>29</v>
      </c>
      <c r="F426" s="31">
        <v>29</v>
      </c>
      <c r="G426" s="9">
        <v>0</v>
      </c>
      <c r="H426" s="7" t="s">
        <v>964</v>
      </c>
      <c r="I426" s="7" t="s">
        <v>1438</v>
      </c>
    </row>
    <row r="427" spans="1:9" ht="331.5" x14ac:dyDescent="0.25">
      <c r="A427" s="32" t="s">
        <v>930</v>
      </c>
      <c r="B427" s="31" t="s">
        <v>929</v>
      </c>
      <c r="C427" s="31" t="s">
        <v>543</v>
      </c>
      <c r="D427" s="31" t="s">
        <v>1544</v>
      </c>
      <c r="E427" s="31">
        <v>6</v>
      </c>
      <c r="F427" s="31">
        <v>8</v>
      </c>
      <c r="G427" s="9">
        <v>0</v>
      </c>
      <c r="H427" s="7" t="s">
        <v>955</v>
      </c>
      <c r="I427" s="7" t="s">
        <v>1438</v>
      </c>
    </row>
    <row r="428" spans="1:9" ht="89.25" x14ac:dyDescent="0.25">
      <c r="A428" s="32" t="s">
        <v>930</v>
      </c>
      <c r="B428" s="31" t="s">
        <v>929</v>
      </c>
      <c r="C428" s="31" t="s">
        <v>543</v>
      </c>
      <c r="D428" s="31" t="s">
        <v>1544</v>
      </c>
      <c r="E428" s="31">
        <v>24</v>
      </c>
      <c r="F428" s="31">
        <v>24</v>
      </c>
      <c r="G428" s="9">
        <v>0</v>
      </c>
      <c r="H428" s="7" t="s">
        <v>952</v>
      </c>
      <c r="I428" s="7" t="s">
        <v>1438</v>
      </c>
    </row>
    <row r="429" spans="1:9" ht="267.75" x14ac:dyDescent="0.25">
      <c r="A429" s="32" t="s">
        <v>930</v>
      </c>
      <c r="B429" s="31" t="s">
        <v>929</v>
      </c>
      <c r="C429" s="31" t="s">
        <v>374</v>
      </c>
      <c r="D429" s="31" t="s">
        <v>1544</v>
      </c>
      <c r="E429" s="31">
        <v>4</v>
      </c>
      <c r="F429" s="31">
        <v>6</v>
      </c>
      <c r="G429" s="9">
        <v>0</v>
      </c>
      <c r="H429" s="7" t="s">
        <v>947</v>
      </c>
      <c r="I429" s="7" t="s">
        <v>1438</v>
      </c>
    </row>
    <row r="430" spans="1:9" ht="89.25" x14ac:dyDescent="0.25">
      <c r="A430" s="32" t="s">
        <v>930</v>
      </c>
      <c r="B430" s="31" t="s">
        <v>929</v>
      </c>
      <c r="C430" s="31" t="s">
        <v>374</v>
      </c>
      <c r="D430" s="31" t="s">
        <v>1544</v>
      </c>
      <c r="E430" s="31">
        <v>12</v>
      </c>
      <c r="F430" s="31">
        <v>12</v>
      </c>
      <c r="G430" s="9">
        <v>0</v>
      </c>
      <c r="H430" s="7" t="s">
        <v>945</v>
      </c>
      <c r="I430" s="7" t="s">
        <v>1438</v>
      </c>
    </row>
    <row r="431" spans="1:9" ht="89.25" x14ac:dyDescent="0.25">
      <c r="A431" s="32" t="s">
        <v>930</v>
      </c>
      <c r="B431" s="31" t="s">
        <v>929</v>
      </c>
      <c r="C431" s="31" t="s">
        <v>374</v>
      </c>
      <c r="D431" s="31" t="s">
        <v>1544</v>
      </c>
      <c r="E431" s="31">
        <v>14</v>
      </c>
      <c r="F431" s="31">
        <v>14</v>
      </c>
      <c r="G431" s="9">
        <v>0</v>
      </c>
      <c r="H431" s="7" t="s">
        <v>944</v>
      </c>
      <c r="I431" s="7" t="s">
        <v>1438</v>
      </c>
    </row>
    <row r="432" spans="1:9" ht="331.5" x14ac:dyDescent="0.25">
      <c r="A432" s="32" t="s">
        <v>930</v>
      </c>
      <c r="B432" s="31" t="s">
        <v>929</v>
      </c>
      <c r="C432" s="31" t="s">
        <v>374</v>
      </c>
      <c r="D432" s="31" t="s">
        <v>1544</v>
      </c>
      <c r="E432" s="31">
        <v>21</v>
      </c>
      <c r="F432" s="31">
        <v>24</v>
      </c>
      <c r="G432" s="9">
        <v>0</v>
      </c>
      <c r="H432" s="7" t="s">
        <v>941</v>
      </c>
      <c r="I432" s="7" t="s">
        <v>1438</v>
      </c>
    </row>
    <row r="433" spans="1:9" ht="178.5" x14ac:dyDescent="0.25">
      <c r="A433" s="32" t="s">
        <v>930</v>
      </c>
      <c r="B433" s="31" t="s">
        <v>929</v>
      </c>
      <c r="C433" s="31" t="s">
        <v>654</v>
      </c>
      <c r="D433" s="31" t="s">
        <v>1544</v>
      </c>
      <c r="E433" s="31">
        <v>7</v>
      </c>
      <c r="F433" s="31">
        <v>7</v>
      </c>
      <c r="G433" s="9">
        <v>0</v>
      </c>
      <c r="H433" s="7" t="s">
        <v>937</v>
      </c>
      <c r="I433" s="7" t="s">
        <v>1438</v>
      </c>
    </row>
    <row r="434" spans="1:9" ht="102" x14ac:dyDescent="0.25">
      <c r="A434" s="32" t="s">
        <v>930</v>
      </c>
      <c r="B434" s="31" t="s">
        <v>929</v>
      </c>
      <c r="C434" s="31" t="s">
        <v>654</v>
      </c>
      <c r="D434" s="31" t="s">
        <v>1544</v>
      </c>
      <c r="E434" s="31">
        <v>23</v>
      </c>
      <c r="F434" s="31">
        <v>23</v>
      </c>
      <c r="G434" s="9">
        <v>0</v>
      </c>
      <c r="H434" s="7" t="s">
        <v>934</v>
      </c>
      <c r="I434" s="7" t="s">
        <v>1438</v>
      </c>
    </row>
    <row r="435" spans="1:9" ht="114.75" x14ac:dyDescent="0.25">
      <c r="A435" s="32" t="s">
        <v>930</v>
      </c>
      <c r="B435" s="31" t="s">
        <v>929</v>
      </c>
      <c r="C435" s="31" t="s">
        <v>654</v>
      </c>
      <c r="D435" s="31" t="s">
        <v>1544</v>
      </c>
      <c r="E435" s="31">
        <v>32</v>
      </c>
      <c r="F435" s="31">
        <v>32</v>
      </c>
      <c r="G435" s="9">
        <v>0</v>
      </c>
      <c r="H435" s="7" t="s">
        <v>931</v>
      </c>
      <c r="I435" s="7" t="s">
        <v>1438</v>
      </c>
    </row>
    <row r="436" spans="1:9" ht="114.75" x14ac:dyDescent="0.25">
      <c r="A436" s="33" t="s">
        <v>930</v>
      </c>
      <c r="B436" s="31" t="s">
        <v>929</v>
      </c>
      <c r="C436" s="31" t="s">
        <v>361</v>
      </c>
      <c r="D436" s="31" t="s">
        <v>1545</v>
      </c>
      <c r="E436" s="31">
        <v>4</v>
      </c>
      <c r="F436" s="31">
        <v>4</v>
      </c>
      <c r="G436" s="9">
        <v>0</v>
      </c>
      <c r="H436" s="7" t="s">
        <v>1371</v>
      </c>
      <c r="I436" s="7" t="s">
        <v>1438</v>
      </c>
    </row>
    <row r="437" spans="1:9" ht="89.25" x14ac:dyDescent="0.25">
      <c r="A437" s="33" t="s">
        <v>930</v>
      </c>
      <c r="B437" s="31" t="s">
        <v>929</v>
      </c>
      <c r="C437" s="31" t="s">
        <v>361</v>
      </c>
      <c r="D437" s="31" t="s">
        <v>1545</v>
      </c>
      <c r="E437" s="31">
        <v>22</v>
      </c>
      <c r="F437" s="31">
        <v>22</v>
      </c>
      <c r="G437" s="9">
        <v>0</v>
      </c>
      <c r="H437" s="7" t="s">
        <v>1361</v>
      </c>
      <c r="I437" s="7" t="s">
        <v>1438</v>
      </c>
    </row>
    <row r="438" spans="1:9" ht="127.5" x14ac:dyDescent="0.25">
      <c r="A438" s="33" t="s">
        <v>930</v>
      </c>
      <c r="B438" s="31" t="s">
        <v>929</v>
      </c>
      <c r="C438" s="31" t="s">
        <v>795</v>
      </c>
      <c r="D438" s="31" t="s">
        <v>1545</v>
      </c>
      <c r="E438" s="31">
        <v>7</v>
      </c>
      <c r="F438" s="31">
        <v>7</v>
      </c>
      <c r="G438" s="9">
        <v>0</v>
      </c>
      <c r="H438" s="7" t="s">
        <v>1172</v>
      </c>
      <c r="I438" s="7" t="s">
        <v>1438</v>
      </c>
    </row>
    <row r="439" spans="1:9" ht="191.25" x14ac:dyDescent="0.25">
      <c r="A439" s="33" t="s">
        <v>930</v>
      </c>
      <c r="B439" s="31" t="s">
        <v>929</v>
      </c>
      <c r="C439" s="31" t="s">
        <v>795</v>
      </c>
      <c r="D439" s="31" t="s">
        <v>1545</v>
      </c>
      <c r="E439" s="31">
        <v>22</v>
      </c>
      <c r="F439" s="31">
        <v>22</v>
      </c>
      <c r="G439" s="9">
        <v>0</v>
      </c>
      <c r="H439" s="7" t="s">
        <v>1169</v>
      </c>
      <c r="I439" s="7" t="s">
        <v>1438</v>
      </c>
    </row>
    <row r="440" spans="1:9" ht="191.25" x14ac:dyDescent="0.25">
      <c r="A440" s="33" t="s">
        <v>930</v>
      </c>
      <c r="B440" s="31" t="s">
        <v>929</v>
      </c>
      <c r="C440" s="31" t="s">
        <v>795</v>
      </c>
      <c r="D440" s="31" t="s">
        <v>1545</v>
      </c>
      <c r="E440" s="31">
        <v>24</v>
      </c>
      <c r="F440" s="31">
        <v>25</v>
      </c>
      <c r="G440" s="9">
        <v>0</v>
      </c>
      <c r="H440" s="7" t="s">
        <v>1168</v>
      </c>
      <c r="I440" s="7" t="s">
        <v>1438</v>
      </c>
    </row>
    <row r="441" spans="1:9" ht="127.5" x14ac:dyDescent="0.25">
      <c r="A441" s="33" t="s">
        <v>930</v>
      </c>
      <c r="B441" s="31" t="s">
        <v>929</v>
      </c>
      <c r="C441" s="31" t="s">
        <v>234</v>
      </c>
      <c r="D441" s="31" t="s">
        <v>1545</v>
      </c>
      <c r="E441" s="31">
        <v>16</v>
      </c>
      <c r="F441" s="31">
        <v>16</v>
      </c>
      <c r="G441" s="9">
        <v>0</v>
      </c>
      <c r="H441" s="7" t="s">
        <v>1082</v>
      </c>
      <c r="I441" s="7" t="s">
        <v>1438</v>
      </c>
    </row>
    <row r="442" spans="1:9" ht="76.5" x14ac:dyDescent="0.25">
      <c r="A442" s="33" t="s">
        <v>930</v>
      </c>
      <c r="B442" s="31" t="s">
        <v>929</v>
      </c>
      <c r="C442" s="31" t="s">
        <v>234</v>
      </c>
      <c r="D442" s="31" t="s">
        <v>1545</v>
      </c>
      <c r="E442" s="31">
        <v>29</v>
      </c>
      <c r="F442" s="31">
        <v>29</v>
      </c>
      <c r="G442" s="9">
        <v>0</v>
      </c>
      <c r="H442" s="7" t="s">
        <v>1077</v>
      </c>
      <c r="I442" s="7" t="s">
        <v>1438</v>
      </c>
    </row>
    <row r="443" spans="1:9" ht="127.5" x14ac:dyDescent="0.25">
      <c r="A443" s="33" t="s">
        <v>930</v>
      </c>
      <c r="B443" s="31" t="s">
        <v>929</v>
      </c>
      <c r="C443" s="31" t="s">
        <v>224</v>
      </c>
      <c r="D443" s="31" t="s">
        <v>1545</v>
      </c>
      <c r="E443" s="31">
        <v>13</v>
      </c>
      <c r="F443" s="31">
        <v>13</v>
      </c>
      <c r="G443" s="9">
        <v>0</v>
      </c>
      <c r="H443" s="7" t="s">
        <v>1011</v>
      </c>
      <c r="I443" s="7" t="s">
        <v>1438</v>
      </c>
    </row>
    <row r="444" spans="1:9" ht="127.5" x14ac:dyDescent="0.25">
      <c r="A444" s="33" t="s">
        <v>930</v>
      </c>
      <c r="B444" s="31" t="s">
        <v>929</v>
      </c>
      <c r="C444" s="31" t="s">
        <v>224</v>
      </c>
      <c r="D444" s="31" t="s">
        <v>1545</v>
      </c>
      <c r="E444" s="31">
        <v>21</v>
      </c>
      <c r="F444" s="31">
        <v>21</v>
      </c>
      <c r="G444" s="9">
        <v>0</v>
      </c>
      <c r="H444" s="7" t="s">
        <v>1005</v>
      </c>
      <c r="I444" s="7" t="s">
        <v>1438</v>
      </c>
    </row>
    <row r="445" spans="1:9" ht="38.25" x14ac:dyDescent="0.25">
      <c r="A445" s="33" t="s">
        <v>930</v>
      </c>
      <c r="B445" s="31" t="s">
        <v>929</v>
      </c>
      <c r="C445" s="31" t="s">
        <v>67</v>
      </c>
      <c r="D445" s="31" t="s">
        <v>1546</v>
      </c>
      <c r="E445" s="31">
        <v>21</v>
      </c>
      <c r="F445" s="31">
        <v>21</v>
      </c>
      <c r="G445" s="9">
        <v>0</v>
      </c>
      <c r="H445" s="7" t="s">
        <v>1239</v>
      </c>
      <c r="I445" s="7" t="s">
        <v>1438</v>
      </c>
    </row>
    <row r="446" spans="1:9" ht="140.25" x14ac:dyDescent="0.25">
      <c r="A446" s="33" t="s">
        <v>930</v>
      </c>
      <c r="B446" s="31" t="s">
        <v>929</v>
      </c>
      <c r="C446" s="31" t="s">
        <v>67</v>
      </c>
      <c r="D446" s="31" t="s">
        <v>1546</v>
      </c>
      <c r="E446" s="31">
        <v>39</v>
      </c>
      <c r="F446" s="31">
        <v>39</v>
      </c>
      <c r="G446" s="9">
        <v>0</v>
      </c>
      <c r="H446" s="7" t="s">
        <v>1229</v>
      </c>
      <c r="I446" s="7" t="s">
        <v>1438</v>
      </c>
    </row>
    <row r="447" spans="1:9" ht="140.25" x14ac:dyDescent="0.25">
      <c r="A447" s="33" t="s">
        <v>930</v>
      </c>
      <c r="B447" s="31" t="s">
        <v>929</v>
      </c>
      <c r="C447" s="31" t="s">
        <v>603</v>
      </c>
      <c r="D447" s="31" t="s">
        <v>1546</v>
      </c>
      <c r="E447" s="31">
        <v>29</v>
      </c>
      <c r="F447" s="31">
        <v>29</v>
      </c>
      <c r="G447" s="9">
        <v>0</v>
      </c>
      <c r="H447" s="7" t="s">
        <v>1086</v>
      </c>
      <c r="I447" s="7" t="s">
        <v>1438</v>
      </c>
    </row>
    <row r="448" spans="1:9" ht="76.5" x14ac:dyDescent="0.25">
      <c r="A448" s="33" t="s">
        <v>930</v>
      </c>
      <c r="B448" s="31" t="s">
        <v>929</v>
      </c>
      <c r="C448" s="31" t="s">
        <v>351</v>
      </c>
      <c r="D448" s="31" t="s">
        <v>1547</v>
      </c>
      <c r="E448" s="31">
        <v>23</v>
      </c>
      <c r="F448" s="31">
        <v>23</v>
      </c>
      <c r="G448" s="9">
        <v>0</v>
      </c>
      <c r="H448" s="7" t="s">
        <v>1423</v>
      </c>
      <c r="I448" s="7" t="s">
        <v>1438</v>
      </c>
    </row>
    <row r="449" spans="1:9" ht="127.5" x14ac:dyDescent="0.25">
      <c r="A449" s="33" t="s">
        <v>930</v>
      </c>
      <c r="B449" s="31" t="s">
        <v>929</v>
      </c>
      <c r="C449" s="31" t="s">
        <v>1667</v>
      </c>
      <c r="D449" s="31" t="s">
        <v>1547</v>
      </c>
      <c r="E449" s="31">
        <v>19</v>
      </c>
      <c r="F449" s="31">
        <v>19</v>
      </c>
      <c r="G449" s="9">
        <v>0</v>
      </c>
      <c r="H449" s="7" t="s">
        <v>1380</v>
      </c>
      <c r="I449" s="7" t="s">
        <v>1438</v>
      </c>
    </row>
    <row r="450" spans="1:9" ht="114.75" x14ac:dyDescent="0.25">
      <c r="A450" s="33" t="s">
        <v>930</v>
      </c>
      <c r="B450" s="31" t="s">
        <v>929</v>
      </c>
      <c r="C450" s="31" t="s">
        <v>361</v>
      </c>
      <c r="D450" s="31" t="s">
        <v>1547</v>
      </c>
      <c r="E450" s="31">
        <v>4</v>
      </c>
      <c r="F450" s="31">
        <v>4</v>
      </c>
      <c r="G450" s="9">
        <v>0</v>
      </c>
      <c r="H450" s="7" t="s">
        <v>1371</v>
      </c>
      <c r="I450" s="7" t="s">
        <v>1438</v>
      </c>
    </row>
    <row r="451" spans="1:9" ht="153" x14ac:dyDescent="0.25">
      <c r="A451" s="33" t="s">
        <v>930</v>
      </c>
      <c r="B451" s="31" t="s">
        <v>929</v>
      </c>
      <c r="C451" s="31" t="s">
        <v>361</v>
      </c>
      <c r="D451" s="31" t="s">
        <v>1547</v>
      </c>
      <c r="E451" s="31">
        <v>18</v>
      </c>
      <c r="F451" s="31">
        <v>18</v>
      </c>
      <c r="G451" s="9">
        <v>0</v>
      </c>
      <c r="H451" s="7" t="s">
        <v>1364</v>
      </c>
      <c r="I451" s="7" t="s">
        <v>1438</v>
      </c>
    </row>
    <row r="452" spans="1:9" ht="153" x14ac:dyDescent="0.25">
      <c r="A452" s="33" t="s">
        <v>930</v>
      </c>
      <c r="B452" s="31" t="s">
        <v>929</v>
      </c>
      <c r="C452" s="31" t="s">
        <v>361</v>
      </c>
      <c r="D452" s="31" t="s">
        <v>1547</v>
      </c>
      <c r="E452" s="31">
        <v>22</v>
      </c>
      <c r="F452" s="31">
        <v>22</v>
      </c>
      <c r="G452" s="9">
        <v>0</v>
      </c>
      <c r="H452" s="7" t="s">
        <v>1362</v>
      </c>
      <c r="I452" s="7" t="s">
        <v>1438</v>
      </c>
    </row>
    <row r="453" spans="1:9" ht="127.5" x14ac:dyDescent="0.25">
      <c r="A453" s="33" t="s">
        <v>930</v>
      </c>
      <c r="B453" s="31" t="s">
        <v>929</v>
      </c>
      <c r="C453" s="31" t="s">
        <v>433</v>
      </c>
      <c r="D453" s="31" t="s">
        <v>1547</v>
      </c>
      <c r="E453" s="31">
        <v>8</v>
      </c>
      <c r="F453" s="31">
        <v>8</v>
      </c>
      <c r="G453" s="9">
        <v>0</v>
      </c>
      <c r="H453" s="7" t="s">
        <v>1491</v>
      </c>
      <c r="I453" s="7" t="s">
        <v>1438</v>
      </c>
    </row>
    <row r="454" spans="1:9" ht="127.5" x14ac:dyDescent="0.25">
      <c r="A454" s="33" t="s">
        <v>930</v>
      </c>
      <c r="B454" s="31" t="s">
        <v>929</v>
      </c>
      <c r="C454" s="31" t="s">
        <v>85</v>
      </c>
      <c r="D454" s="31" t="s">
        <v>1547</v>
      </c>
      <c r="E454" s="31">
        <v>17</v>
      </c>
      <c r="F454" s="31">
        <v>17</v>
      </c>
      <c r="G454" s="9">
        <v>0</v>
      </c>
      <c r="H454" s="7" t="s">
        <v>1320</v>
      </c>
      <c r="I454" s="7" t="s">
        <v>1438</v>
      </c>
    </row>
    <row r="455" spans="1:9" ht="38.25" x14ac:dyDescent="0.25">
      <c r="A455" s="33" t="s">
        <v>930</v>
      </c>
      <c r="B455" s="31" t="s">
        <v>929</v>
      </c>
      <c r="C455" s="31" t="s">
        <v>85</v>
      </c>
      <c r="D455" s="31" t="s">
        <v>1547</v>
      </c>
      <c r="E455" s="31">
        <v>27</v>
      </c>
      <c r="F455" s="31">
        <v>27</v>
      </c>
      <c r="G455" s="9">
        <v>0</v>
      </c>
      <c r="H455" s="7" t="s">
        <v>1315</v>
      </c>
      <c r="I455" s="7" t="s">
        <v>1438</v>
      </c>
    </row>
    <row r="456" spans="1:9" ht="38.25" x14ac:dyDescent="0.25">
      <c r="A456" s="33" t="s">
        <v>930</v>
      </c>
      <c r="B456" s="31" t="s">
        <v>929</v>
      </c>
      <c r="C456" s="31" t="s">
        <v>67</v>
      </c>
      <c r="D456" s="31" t="s">
        <v>1547</v>
      </c>
      <c r="E456" s="31">
        <v>21</v>
      </c>
      <c r="F456" s="31">
        <v>21</v>
      </c>
      <c r="G456" s="9">
        <v>0</v>
      </c>
      <c r="H456" s="7" t="s">
        <v>1239</v>
      </c>
      <c r="I456" s="7" t="s">
        <v>1438</v>
      </c>
    </row>
    <row r="457" spans="1:9" ht="293.25" x14ac:dyDescent="0.25">
      <c r="A457" s="33" t="s">
        <v>930</v>
      </c>
      <c r="B457" s="31" t="s">
        <v>929</v>
      </c>
      <c r="C457" s="31" t="s">
        <v>795</v>
      </c>
      <c r="D457" s="31" t="s">
        <v>1547</v>
      </c>
      <c r="E457" s="31">
        <v>4</v>
      </c>
      <c r="F457" s="31">
        <v>5</v>
      </c>
      <c r="G457" s="9">
        <v>0</v>
      </c>
      <c r="H457" s="7" t="s">
        <v>1173</v>
      </c>
      <c r="I457" s="7" t="s">
        <v>1438</v>
      </c>
    </row>
    <row r="458" spans="1:9" ht="229.5" x14ac:dyDescent="0.25">
      <c r="A458" s="33" t="s">
        <v>930</v>
      </c>
      <c r="B458" s="31" t="s">
        <v>929</v>
      </c>
      <c r="C458" s="31" t="s">
        <v>795</v>
      </c>
      <c r="D458" s="31" t="s">
        <v>1547</v>
      </c>
      <c r="E458" s="31">
        <v>21</v>
      </c>
      <c r="F458" s="31">
        <v>21</v>
      </c>
      <c r="G458" s="9">
        <v>0</v>
      </c>
      <c r="H458" s="7" t="s">
        <v>1170</v>
      </c>
      <c r="I458" s="7" t="s">
        <v>1438</v>
      </c>
    </row>
    <row r="459" spans="1:9" ht="191.25" x14ac:dyDescent="0.25">
      <c r="A459" s="33" t="s">
        <v>930</v>
      </c>
      <c r="B459" s="31" t="s">
        <v>929</v>
      </c>
      <c r="C459" s="31" t="s">
        <v>795</v>
      </c>
      <c r="D459" s="31" t="s">
        <v>1547</v>
      </c>
      <c r="E459" s="31">
        <v>24</v>
      </c>
      <c r="F459" s="31">
        <v>25</v>
      </c>
      <c r="G459" s="9">
        <v>0</v>
      </c>
      <c r="H459" s="7" t="s">
        <v>1168</v>
      </c>
      <c r="I459" s="7" t="s">
        <v>1438</v>
      </c>
    </row>
    <row r="460" spans="1:9" ht="216.75" x14ac:dyDescent="0.25">
      <c r="A460" s="33" t="s">
        <v>930</v>
      </c>
      <c r="B460" s="31" t="s">
        <v>929</v>
      </c>
      <c r="C460" s="31" t="s">
        <v>41</v>
      </c>
      <c r="D460" s="31" t="s">
        <v>1547</v>
      </c>
      <c r="E460" s="31">
        <v>10</v>
      </c>
      <c r="F460" s="31">
        <v>12</v>
      </c>
      <c r="G460" s="9">
        <v>0</v>
      </c>
      <c r="H460" s="7" t="s">
        <v>1164</v>
      </c>
      <c r="I460" s="7" t="s">
        <v>1438</v>
      </c>
    </row>
    <row r="461" spans="1:9" ht="357" x14ac:dyDescent="0.25">
      <c r="A461" s="33" t="s">
        <v>930</v>
      </c>
      <c r="B461" s="31" t="s">
        <v>929</v>
      </c>
      <c r="C461" s="31" t="s">
        <v>41</v>
      </c>
      <c r="D461" s="31" t="s">
        <v>1547</v>
      </c>
      <c r="E461" s="31">
        <v>25</v>
      </c>
      <c r="F461" s="31">
        <v>29</v>
      </c>
      <c r="G461" s="9">
        <v>0</v>
      </c>
      <c r="H461" s="7" t="s">
        <v>1160</v>
      </c>
      <c r="I461" s="7" t="s">
        <v>1438</v>
      </c>
    </row>
    <row r="462" spans="1:9" ht="127.5" x14ac:dyDescent="0.25">
      <c r="A462" s="33" t="s">
        <v>930</v>
      </c>
      <c r="B462" s="31" t="s">
        <v>929</v>
      </c>
      <c r="C462" s="31" t="s">
        <v>522</v>
      </c>
      <c r="D462" s="31" t="s">
        <v>1547</v>
      </c>
      <c r="E462" s="31">
        <v>22</v>
      </c>
      <c r="F462" s="31">
        <v>22</v>
      </c>
      <c r="G462" s="9">
        <v>0</v>
      </c>
      <c r="H462" s="7" t="s">
        <v>1093</v>
      </c>
      <c r="I462" s="7" t="s">
        <v>1438</v>
      </c>
    </row>
    <row r="463" spans="1:9" ht="102" x14ac:dyDescent="0.25">
      <c r="A463" s="33" t="s">
        <v>930</v>
      </c>
      <c r="B463" s="31" t="s">
        <v>929</v>
      </c>
      <c r="C463" s="31" t="s">
        <v>522</v>
      </c>
      <c r="D463" s="31" t="s">
        <v>1547</v>
      </c>
      <c r="E463" s="31">
        <v>37</v>
      </c>
      <c r="F463" s="31">
        <v>37</v>
      </c>
      <c r="G463" s="9">
        <v>0</v>
      </c>
      <c r="H463" s="7" t="s">
        <v>1091</v>
      </c>
      <c r="I463" s="7" t="s">
        <v>1438</v>
      </c>
    </row>
    <row r="464" spans="1:9" ht="127.5" x14ac:dyDescent="0.25">
      <c r="A464" s="33" t="s">
        <v>930</v>
      </c>
      <c r="B464" s="31" t="s">
        <v>929</v>
      </c>
      <c r="C464" s="31" t="s">
        <v>234</v>
      </c>
      <c r="D464" s="31" t="s">
        <v>1547</v>
      </c>
      <c r="E464" s="31">
        <v>16</v>
      </c>
      <c r="F464" s="31">
        <v>16</v>
      </c>
      <c r="G464" s="9">
        <v>0</v>
      </c>
      <c r="H464" s="7" t="s">
        <v>1082</v>
      </c>
      <c r="I464" s="7" t="s">
        <v>1438</v>
      </c>
    </row>
    <row r="465" spans="1:9" ht="76.5" x14ac:dyDescent="0.25">
      <c r="A465" s="33" t="s">
        <v>930</v>
      </c>
      <c r="B465" s="31" t="s">
        <v>929</v>
      </c>
      <c r="C465" s="31" t="s">
        <v>234</v>
      </c>
      <c r="D465" s="31" t="s">
        <v>1547</v>
      </c>
      <c r="E465" s="31">
        <v>29</v>
      </c>
      <c r="F465" s="31">
        <v>29</v>
      </c>
      <c r="G465" s="9">
        <v>0</v>
      </c>
      <c r="H465" s="7" t="s">
        <v>1077</v>
      </c>
      <c r="I465" s="7" t="s">
        <v>1438</v>
      </c>
    </row>
    <row r="466" spans="1:9" ht="153" x14ac:dyDescent="0.25">
      <c r="A466" s="33" t="s">
        <v>930</v>
      </c>
      <c r="B466" s="31" t="s">
        <v>929</v>
      </c>
      <c r="C466" s="31" t="s">
        <v>199</v>
      </c>
      <c r="D466" s="31" t="s">
        <v>1547</v>
      </c>
      <c r="E466" s="31">
        <v>17</v>
      </c>
      <c r="F466" s="31">
        <v>17</v>
      </c>
      <c r="G466" s="9">
        <v>0</v>
      </c>
      <c r="H466" s="7" t="s">
        <v>1021</v>
      </c>
      <c r="I466" s="7" t="s">
        <v>1438</v>
      </c>
    </row>
    <row r="467" spans="1:9" ht="102" x14ac:dyDescent="0.25">
      <c r="A467" s="33" t="s">
        <v>930</v>
      </c>
      <c r="B467" s="31" t="s">
        <v>929</v>
      </c>
      <c r="C467" s="31" t="s">
        <v>199</v>
      </c>
      <c r="D467" s="31" t="s">
        <v>1547</v>
      </c>
      <c r="E467" s="31">
        <v>34</v>
      </c>
      <c r="F467" s="31">
        <v>34</v>
      </c>
      <c r="G467" s="9">
        <v>0</v>
      </c>
      <c r="H467" s="7" t="s">
        <v>1017</v>
      </c>
      <c r="I467" s="7" t="s">
        <v>1438</v>
      </c>
    </row>
    <row r="468" spans="1:9" ht="114.75" x14ac:dyDescent="0.25">
      <c r="A468" s="33" t="s">
        <v>930</v>
      </c>
      <c r="B468" s="31" t="s">
        <v>929</v>
      </c>
      <c r="C468" s="31" t="s">
        <v>224</v>
      </c>
      <c r="D468" s="31" t="s">
        <v>1547</v>
      </c>
      <c r="E468" s="31">
        <v>19</v>
      </c>
      <c r="F468" s="31">
        <v>19</v>
      </c>
      <c r="G468" s="9">
        <v>0</v>
      </c>
      <c r="H468" s="7" t="s">
        <v>1007</v>
      </c>
      <c r="I468" s="7" t="s">
        <v>1438</v>
      </c>
    </row>
    <row r="469" spans="1:9" ht="242.25" x14ac:dyDescent="0.25">
      <c r="A469" s="33" t="s">
        <v>930</v>
      </c>
      <c r="B469" s="31" t="s">
        <v>929</v>
      </c>
      <c r="C469" s="31" t="s">
        <v>664</v>
      </c>
      <c r="D469" s="31" t="s">
        <v>1547</v>
      </c>
      <c r="E469" s="31">
        <v>25</v>
      </c>
      <c r="F469" s="31">
        <v>25</v>
      </c>
      <c r="G469" s="9">
        <v>0</v>
      </c>
      <c r="H469" s="7" t="s">
        <v>984</v>
      </c>
      <c r="I469" s="7" t="s">
        <v>1438</v>
      </c>
    </row>
    <row r="470" spans="1:9" ht="38.25" x14ac:dyDescent="0.25">
      <c r="A470" s="33" t="s">
        <v>930</v>
      </c>
      <c r="B470" s="31" t="s">
        <v>929</v>
      </c>
      <c r="C470" s="31" t="s">
        <v>67</v>
      </c>
      <c r="D470" s="31" t="s">
        <v>1548</v>
      </c>
      <c r="E470" s="31">
        <v>24</v>
      </c>
      <c r="F470" s="31">
        <v>24</v>
      </c>
      <c r="G470" s="9">
        <v>0</v>
      </c>
      <c r="H470" s="7" t="s">
        <v>1236</v>
      </c>
      <c r="I470" s="7" t="s">
        <v>1438</v>
      </c>
    </row>
    <row r="471" spans="1:9" ht="267.75" x14ac:dyDescent="0.25">
      <c r="A471" s="33" t="s">
        <v>930</v>
      </c>
      <c r="B471" s="31" t="s">
        <v>929</v>
      </c>
      <c r="C471" s="31" t="s">
        <v>41</v>
      </c>
      <c r="D471" s="31" t="s">
        <v>1548</v>
      </c>
      <c r="E471" s="31">
        <v>32</v>
      </c>
      <c r="F471" s="31">
        <v>33</v>
      </c>
      <c r="G471" s="9">
        <v>0</v>
      </c>
      <c r="H471" s="7" t="s">
        <v>1159</v>
      </c>
      <c r="I471" s="7" t="s">
        <v>1438</v>
      </c>
    </row>
    <row r="472" spans="1:9" ht="242.25" x14ac:dyDescent="0.25">
      <c r="A472" s="33" t="s">
        <v>930</v>
      </c>
      <c r="B472" s="31" t="s">
        <v>929</v>
      </c>
      <c r="C472" s="31" t="s">
        <v>685</v>
      </c>
      <c r="D472" s="31" t="s">
        <v>1549</v>
      </c>
      <c r="E472" s="31">
        <v>9</v>
      </c>
      <c r="F472" s="31">
        <v>10</v>
      </c>
      <c r="G472" s="9">
        <v>0</v>
      </c>
      <c r="H472" s="7" t="s">
        <v>1330</v>
      </c>
      <c r="I472" s="7" t="s">
        <v>1438</v>
      </c>
    </row>
    <row r="473" spans="1:9" ht="153" x14ac:dyDescent="0.25">
      <c r="A473" s="33" t="s">
        <v>930</v>
      </c>
      <c r="B473" s="31" t="s">
        <v>929</v>
      </c>
      <c r="C473" s="31" t="s">
        <v>113</v>
      </c>
      <c r="D473" s="31" t="s">
        <v>1549</v>
      </c>
      <c r="E473" s="31">
        <v>9</v>
      </c>
      <c r="F473" s="31">
        <v>9</v>
      </c>
      <c r="G473" s="9">
        <v>0</v>
      </c>
      <c r="H473" s="7" t="s">
        <v>1274</v>
      </c>
      <c r="I473" s="7" t="s">
        <v>1438</v>
      </c>
    </row>
    <row r="474" spans="1:9" ht="357" x14ac:dyDescent="0.25">
      <c r="A474" s="33" t="s">
        <v>930</v>
      </c>
      <c r="B474" s="31" t="s">
        <v>929</v>
      </c>
      <c r="C474" s="31" t="s">
        <v>113</v>
      </c>
      <c r="D474" s="31" t="s">
        <v>1549</v>
      </c>
      <c r="E474" s="31">
        <v>20</v>
      </c>
      <c r="F474" s="31">
        <v>21</v>
      </c>
      <c r="G474" s="9">
        <v>0</v>
      </c>
      <c r="H474" s="7" t="s">
        <v>1271</v>
      </c>
      <c r="I474" s="7" t="s">
        <v>1438</v>
      </c>
    </row>
    <row r="475" spans="1:9" ht="204" x14ac:dyDescent="0.25">
      <c r="A475" s="33" t="s">
        <v>930</v>
      </c>
      <c r="B475" s="31" t="s">
        <v>929</v>
      </c>
      <c r="C475" s="31" t="s">
        <v>316</v>
      </c>
      <c r="D475" s="31" t="s">
        <v>1549</v>
      </c>
      <c r="E475" s="31">
        <v>43</v>
      </c>
      <c r="F475" s="31">
        <v>44</v>
      </c>
      <c r="G475" s="9">
        <v>0</v>
      </c>
      <c r="H475" s="7" t="s">
        <v>1247</v>
      </c>
      <c r="I475" s="7" t="s">
        <v>1438</v>
      </c>
    </row>
    <row r="476" spans="1:9" ht="89.25" x14ac:dyDescent="0.25">
      <c r="A476" s="33" t="s">
        <v>930</v>
      </c>
      <c r="B476" s="31" t="s">
        <v>929</v>
      </c>
      <c r="C476" s="31" t="s">
        <v>67</v>
      </c>
      <c r="D476" s="31" t="s">
        <v>1549</v>
      </c>
      <c r="E476" s="31">
        <v>45</v>
      </c>
      <c r="F476" s="31">
        <v>45</v>
      </c>
      <c r="G476" s="9">
        <v>0</v>
      </c>
      <c r="H476" s="7" t="s">
        <v>1226</v>
      </c>
      <c r="I476" s="7" t="s">
        <v>1438</v>
      </c>
    </row>
    <row r="477" spans="1:9" ht="344.25" x14ac:dyDescent="0.25">
      <c r="A477" s="33" t="s">
        <v>930</v>
      </c>
      <c r="B477" s="31" t="s">
        <v>929</v>
      </c>
      <c r="C477" s="31" t="s">
        <v>795</v>
      </c>
      <c r="D477" s="31" t="s">
        <v>1549</v>
      </c>
      <c r="E477" s="31">
        <v>18</v>
      </c>
      <c r="F477" s="31">
        <v>20</v>
      </c>
      <c r="G477" s="9">
        <v>0</v>
      </c>
      <c r="H477" s="7" t="s">
        <v>1171</v>
      </c>
      <c r="I477" s="7" t="s">
        <v>1438</v>
      </c>
    </row>
    <row r="478" spans="1:9" ht="204" x14ac:dyDescent="0.25">
      <c r="A478" s="33" t="s">
        <v>930</v>
      </c>
      <c r="B478" s="31" t="s">
        <v>929</v>
      </c>
      <c r="C478" s="31" t="s">
        <v>795</v>
      </c>
      <c r="D478" s="31" t="s">
        <v>1549</v>
      </c>
      <c r="E478" s="31">
        <v>27</v>
      </c>
      <c r="F478" s="31">
        <v>27</v>
      </c>
      <c r="G478" s="9">
        <v>0</v>
      </c>
      <c r="H478" s="7" t="s">
        <v>1167</v>
      </c>
      <c r="I478" s="7" t="s">
        <v>1438</v>
      </c>
    </row>
    <row r="479" spans="1:9" ht="216.75" x14ac:dyDescent="0.25">
      <c r="A479" s="33" t="s">
        <v>930</v>
      </c>
      <c r="B479" s="31" t="s">
        <v>929</v>
      </c>
      <c r="C479" s="31" t="s">
        <v>41</v>
      </c>
      <c r="D479" s="31" t="s">
        <v>1549</v>
      </c>
      <c r="E479" s="31">
        <v>10</v>
      </c>
      <c r="F479" s="31">
        <v>12</v>
      </c>
      <c r="G479" s="9">
        <v>0</v>
      </c>
      <c r="H479" s="7" t="s">
        <v>1164</v>
      </c>
      <c r="I479" s="7" t="s">
        <v>1438</v>
      </c>
    </row>
    <row r="480" spans="1:9" ht="127.5" x14ac:dyDescent="0.25">
      <c r="A480" s="33" t="s">
        <v>930</v>
      </c>
      <c r="B480" s="31" t="s">
        <v>929</v>
      </c>
      <c r="C480" s="31" t="s">
        <v>224</v>
      </c>
      <c r="D480" s="31" t="s">
        <v>1549</v>
      </c>
      <c r="E480" s="31">
        <v>21</v>
      </c>
      <c r="F480" s="31">
        <v>21</v>
      </c>
      <c r="G480" s="9">
        <v>0</v>
      </c>
      <c r="H480" s="7" t="s">
        <v>1005</v>
      </c>
      <c r="I480" s="7" t="s">
        <v>1438</v>
      </c>
    </row>
    <row r="481" spans="1:9" ht="76.5" x14ac:dyDescent="0.25">
      <c r="A481" s="33" t="s">
        <v>930</v>
      </c>
      <c r="B481" s="31" t="s">
        <v>929</v>
      </c>
      <c r="C481" s="31" t="s">
        <v>918</v>
      </c>
      <c r="D481" s="31" t="s">
        <v>1550</v>
      </c>
      <c r="E481" s="31">
        <v>14</v>
      </c>
      <c r="F481" s="31">
        <v>14</v>
      </c>
      <c r="G481" s="9">
        <v>0</v>
      </c>
      <c r="H481" s="7" t="s">
        <v>1411</v>
      </c>
      <c r="I481" s="7" t="s">
        <v>1438</v>
      </c>
    </row>
    <row r="482" spans="1:9" ht="89.25" x14ac:dyDescent="0.25">
      <c r="A482" s="33" t="s">
        <v>930</v>
      </c>
      <c r="B482" s="31" t="s">
        <v>929</v>
      </c>
      <c r="C482" s="31" t="s">
        <v>97</v>
      </c>
      <c r="D482" s="31" t="s">
        <v>1550</v>
      </c>
      <c r="E482" s="31">
        <v>11</v>
      </c>
      <c r="F482" s="31">
        <v>11</v>
      </c>
      <c r="G482" s="9">
        <v>0</v>
      </c>
      <c r="H482" s="7" t="s">
        <v>1400</v>
      </c>
      <c r="I482" s="7" t="s">
        <v>1438</v>
      </c>
    </row>
    <row r="483" spans="1:9" ht="153" x14ac:dyDescent="0.25">
      <c r="A483" s="33" t="s">
        <v>930</v>
      </c>
      <c r="B483" s="31" t="s">
        <v>929</v>
      </c>
      <c r="C483" s="31" t="s">
        <v>97</v>
      </c>
      <c r="D483" s="31" t="s">
        <v>1550</v>
      </c>
      <c r="E483" s="31">
        <v>21</v>
      </c>
      <c r="F483" s="31">
        <v>21</v>
      </c>
      <c r="G483" s="9">
        <v>0</v>
      </c>
      <c r="H483" s="7" t="s">
        <v>1398</v>
      </c>
      <c r="I483" s="7" t="s">
        <v>1438</v>
      </c>
    </row>
    <row r="484" spans="1:9" ht="140.25" x14ac:dyDescent="0.25">
      <c r="A484" s="33" t="s">
        <v>930</v>
      </c>
      <c r="B484" s="31" t="s">
        <v>929</v>
      </c>
      <c r="C484" s="31" t="s">
        <v>97</v>
      </c>
      <c r="D484" s="31" t="s">
        <v>1550</v>
      </c>
      <c r="E484" s="31">
        <v>24</v>
      </c>
      <c r="F484" s="31">
        <v>24</v>
      </c>
      <c r="G484" s="9">
        <v>0</v>
      </c>
      <c r="H484" s="7" t="s">
        <v>1397</v>
      </c>
      <c r="I484" s="7" t="s">
        <v>1438</v>
      </c>
    </row>
    <row r="485" spans="1:9" ht="318.75" x14ac:dyDescent="0.25">
      <c r="A485" s="33" t="s">
        <v>930</v>
      </c>
      <c r="B485" s="31" t="s">
        <v>929</v>
      </c>
      <c r="C485" s="31" t="s">
        <v>97</v>
      </c>
      <c r="D485" s="31" t="s">
        <v>1550</v>
      </c>
      <c r="E485" s="31">
        <v>31</v>
      </c>
      <c r="F485" s="31">
        <v>35</v>
      </c>
      <c r="G485" s="9">
        <v>0</v>
      </c>
      <c r="H485" s="7" t="s">
        <v>1395</v>
      </c>
      <c r="I485" s="7" t="s">
        <v>1438</v>
      </c>
    </row>
    <row r="486" spans="1:9" ht="114.75" x14ac:dyDescent="0.25">
      <c r="A486" s="33" t="s">
        <v>930</v>
      </c>
      <c r="B486" s="31" t="s">
        <v>929</v>
      </c>
      <c r="C486" s="31" t="s">
        <v>97</v>
      </c>
      <c r="D486" s="31" t="s">
        <v>1550</v>
      </c>
      <c r="E486" s="31">
        <v>44</v>
      </c>
      <c r="F486" s="31">
        <v>44</v>
      </c>
      <c r="G486" s="9">
        <v>0</v>
      </c>
      <c r="H486" s="7" t="s">
        <v>1394</v>
      </c>
      <c r="I486" s="7" t="s">
        <v>1438</v>
      </c>
    </row>
    <row r="487" spans="1:9" ht="344.25" x14ac:dyDescent="0.25">
      <c r="A487" s="33" t="s">
        <v>930</v>
      </c>
      <c r="B487" s="31" t="s">
        <v>929</v>
      </c>
      <c r="C487" s="31" t="s">
        <v>500</v>
      </c>
      <c r="D487" s="31" t="s">
        <v>1550</v>
      </c>
      <c r="E487" s="31">
        <v>13</v>
      </c>
      <c r="F487" s="31">
        <v>16</v>
      </c>
      <c r="G487" s="9">
        <v>0</v>
      </c>
      <c r="H487" s="7" t="s">
        <v>1375</v>
      </c>
      <c r="I487" s="7" t="s">
        <v>1438</v>
      </c>
    </row>
    <row r="488" spans="1:9" ht="229.5" x14ac:dyDescent="0.25">
      <c r="A488" s="33" t="s">
        <v>930</v>
      </c>
      <c r="B488" s="31" t="s">
        <v>929</v>
      </c>
      <c r="C488" s="31" t="s">
        <v>500</v>
      </c>
      <c r="D488" s="31" t="s">
        <v>1550</v>
      </c>
      <c r="E488" s="31">
        <v>27</v>
      </c>
      <c r="F488" s="31">
        <v>28</v>
      </c>
      <c r="G488" s="9">
        <v>0</v>
      </c>
      <c r="H488" s="7" t="s">
        <v>1373</v>
      </c>
      <c r="I488" s="7" t="s">
        <v>1438</v>
      </c>
    </row>
    <row r="489" spans="1:9" ht="76.5" x14ac:dyDescent="0.25">
      <c r="A489" s="33" t="s">
        <v>930</v>
      </c>
      <c r="B489" s="31" t="s">
        <v>929</v>
      </c>
      <c r="C489" s="31" t="s">
        <v>361</v>
      </c>
      <c r="D489" s="31" t="s">
        <v>1550</v>
      </c>
      <c r="E489" s="31">
        <v>12</v>
      </c>
      <c r="F489" s="31">
        <v>12</v>
      </c>
      <c r="G489" s="9">
        <v>0</v>
      </c>
      <c r="H489" s="7" t="s">
        <v>1368</v>
      </c>
      <c r="I489" s="7" t="s">
        <v>1438</v>
      </c>
    </row>
    <row r="490" spans="1:9" ht="293.25" x14ac:dyDescent="0.25">
      <c r="A490" s="33" t="s">
        <v>930</v>
      </c>
      <c r="B490" s="31" t="s">
        <v>929</v>
      </c>
      <c r="C490" s="31" t="s">
        <v>361</v>
      </c>
      <c r="D490" s="31" t="s">
        <v>1550</v>
      </c>
      <c r="E490" s="31">
        <v>23</v>
      </c>
      <c r="F490" s="31">
        <v>24</v>
      </c>
      <c r="G490" s="9">
        <v>0</v>
      </c>
      <c r="H490" s="7" t="s">
        <v>1360</v>
      </c>
      <c r="I490" s="7" t="s">
        <v>1438</v>
      </c>
    </row>
    <row r="491" spans="1:9" ht="89.25" x14ac:dyDescent="0.25">
      <c r="A491" s="33" t="s">
        <v>930</v>
      </c>
      <c r="B491" s="31" t="s">
        <v>929</v>
      </c>
      <c r="C491" s="31" t="s">
        <v>588</v>
      </c>
      <c r="D491" s="31" t="s">
        <v>1550</v>
      </c>
      <c r="E491" s="31">
        <v>16</v>
      </c>
      <c r="F491" s="31">
        <v>16</v>
      </c>
      <c r="G491" s="9">
        <v>0</v>
      </c>
      <c r="H491" s="7" t="s">
        <v>1355</v>
      </c>
      <c r="I491" s="7" t="s">
        <v>1438</v>
      </c>
    </row>
    <row r="492" spans="1:9" ht="216.75" x14ac:dyDescent="0.25">
      <c r="A492" s="33" t="s">
        <v>930</v>
      </c>
      <c r="B492" s="31" t="s">
        <v>929</v>
      </c>
      <c r="C492" s="31" t="s">
        <v>588</v>
      </c>
      <c r="D492" s="31" t="s">
        <v>1550</v>
      </c>
      <c r="E492" s="31">
        <v>33</v>
      </c>
      <c r="F492" s="31">
        <v>34</v>
      </c>
      <c r="G492" s="9">
        <v>0</v>
      </c>
      <c r="H492" s="7" t="s">
        <v>1352</v>
      </c>
      <c r="I492" s="7" t="s">
        <v>1438</v>
      </c>
    </row>
    <row r="493" spans="1:9" ht="140.25" x14ac:dyDescent="0.25">
      <c r="A493" s="33" t="s">
        <v>930</v>
      </c>
      <c r="B493" s="31" t="s">
        <v>929</v>
      </c>
      <c r="C493" s="31" t="s">
        <v>411</v>
      </c>
      <c r="D493" s="31" t="s">
        <v>1550</v>
      </c>
      <c r="E493" s="31">
        <v>3</v>
      </c>
      <c r="F493" s="31">
        <v>3</v>
      </c>
      <c r="G493" s="9">
        <v>0</v>
      </c>
      <c r="H493" s="7" t="s">
        <v>1337</v>
      </c>
      <c r="I493" s="7" t="s">
        <v>1438</v>
      </c>
    </row>
    <row r="494" spans="1:9" ht="76.5" x14ac:dyDescent="0.25">
      <c r="A494" s="33" t="s">
        <v>930</v>
      </c>
      <c r="B494" s="31" t="s">
        <v>929</v>
      </c>
      <c r="C494" s="31" t="s">
        <v>411</v>
      </c>
      <c r="D494" s="31" t="s">
        <v>1550</v>
      </c>
      <c r="E494" s="31">
        <v>4</v>
      </c>
      <c r="F494" s="31">
        <v>4</v>
      </c>
      <c r="G494" s="9">
        <v>0</v>
      </c>
      <c r="H494" s="7" t="s">
        <v>1335</v>
      </c>
      <c r="I494" s="7" t="s">
        <v>1438</v>
      </c>
    </row>
    <row r="495" spans="1:9" ht="25.5" x14ac:dyDescent="0.25">
      <c r="A495" s="33" t="s">
        <v>930</v>
      </c>
      <c r="B495" s="31" t="s">
        <v>929</v>
      </c>
      <c r="C495" s="31" t="s">
        <v>85</v>
      </c>
      <c r="D495" s="31" t="s">
        <v>1550</v>
      </c>
      <c r="E495" s="31">
        <v>25</v>
      </c>
      <c r="F495" s="31">
        <v>25</v>
      </c>
      <c r="G495" s="9">
        <v>0</v>
      </c>
      <c r="H495" s="7" t="s">
        <v>1317</v>
      </c>
      <c r="I495" s="7" t="s">
        <v>1438</v>
      </c>
    </row>
    <row r="496" spans="1:9" ht="25.5" x14ac:dyDescent="0.25">
      <c r="A496" s="33" t="s">
        <v>930</v>
      </c>
      <c r="B496" s="31" t="s">
        <v>929</v>
      </c>
      <c r="C496" s="31" t="s">
        <v>85</v>
      </c>
      <c r="D496" s="31" t="s">
        <v>1550</v>
      </c>
      <c r="E496" s="31">
        <v>33</v>
      </c>
      <c r="F496" s="31">
        <v>33</v>
      </c>
      <c r="G496" s="9">
        <v>0</v>
      </c>
      <c r="H496" s="7" t="s">
        <v>1311</v>
      </c>
      <c r="I496" s="7" t="s">
        <v>1438</v>
      </c>
    </row>
    <row r="497" spans="1:9" ht="140.25" x14ac:dyDescent="0.25">
      <c r="A497" s="33" t="s">
        <v>930</v>
      </c>
      <c r="B497" s="31" t="s">
        <v>929</v>
      </c>
      <c r="C497" s="31" t="s">
        <v>566</v>
      </c>
      <c r="D497" s="31" t="s">
        <v>1550</v>
      </c>
      <c r="E497" s="31">
        <v>13</v>
      </c>
      <c r="F497" s="31">
        <v>13</v>
      </c>
      <c r="G497" s="9">
        <v>0</v>
      </c>
      <c r="H497" s="7" t="s">
        <v>1297</v>
      </c>
      <c r="I497" s="7" t="s">
        <v>1438</v>
      </c>
    </row>
    <row r="498" spans="1:9" ht="114.75" x14ac:dyDescent="0.25">
      <c r="A498" s="33" t="s">
        <v>930</v>
      </c>
      <c r="B498" s="31" t="s">
        <v>929</v>
      </c>
      <c r="C498" s="31" t="s">
        <v>113</v>
      </c>
      <c r="D498" s="31" t="s">
        <v>1550</v>
      </c>
      <c r="E498" s="31">
        <v>13</v>
      </c>
      <c r="F498" s="31">
        <v>13</v>
      </c>
      <c r="G498" s="9">
        <v>0</v>
      </c>
      <c r="H498" s="7" t="s">
        <v>1273</v>
      </c>
      <c r="I498" s="7" t="s">
        <v>1438</v>
      </c>
    </row>
    <row r="499" spans="1:9" ht="344.25" x14ac:dyDescent="0.25">
      <c r="A499" s="33" t="s">
        <v>930</v>
      </c>
      <c r="B499" s="31" t="s">
        <v>929</v>
      </c>
      <c r="C499" s="31" t="s">
        <v>113</v>
      </c>
      <c r="D499" s="31" t="s">
        <v>1550</v>
      </c>
      <c r="E499" s="31">
        <v>18</v>
      </c>
      <c r="F499" s="31">
        <v>19</v>
      </c>
      <c r="G499" s="9">
        <v>0</v>
      </c>
      <c r="H499" s="7" t="s">
        <v>1272</v>
      </c>
      <c r="I499" s="7" t="s">
        <v>1438</v>
      </c>
    </row>
    <row r="500" spans="1:9" ht="318.75" x14ac:dyDescent="0.25">
      <c r="A500" s="33" t="s">
        <v>930</v>
      </c>
      <c r="B500" s="31" t="s">
        <v>929</v>
      </c>
      <c r="C500" s="31" t="s">
        <v>113</v>
      </c>
      <c r="D500" s="31" t="s">
        <v>1550</v>
      </c>
      <c r="E500" s="31">
        <v>24</v>
      </c>
      <c r="F500" s="31">
        <v>27</v>
      </c>
      <c r="G500" s="9">
        <v>0</v>
      </c>
      <c r="H500" s="7" t="s">
        <v>1270</v>
      </c>
      <c r="I500" s="7" t="s">
        <v>1438</v>
      </c>
    </row>
    <row r="501" spans="1:9" ht="114.75" x14ac:dyDescent="0.25">
      <c r="A501" s="33" t="s">
        <v>930</v>
      </c>
      <c r="B501" s="31" t="s">
        <v>929</v>
      </c>
      <c r="C501" s="31" t="s">
        <v>386</v>
      </c>
      <c r="D501" s="31" t="s">
        <v>1550</v>
      </c>
      <c r="E501" s="31">
        <v>18</v>
      </c>
      <c r="F501" s="31">
        <v>18</v>
      </c>
      <c r="G501" s="9">
        <v>0</v>
      </c>
      <c r="H501" s="7" t="s">
        <v>1263</v>
      </c>
      <c r="I501" s="7" t="s">
        <v>1438</v>
      </c>
    </row>
    <row r="502" spans="1:9" ht="140.25" x14ac:dyDescent="0.25">
      <c r="A502" s="33" t="s">
        <v>930</v>
      </c>
      <c r="B502" s="31" t="s">
        <v>929</v>
      </c>
      <c r="C502" s="31" t="s">
        <v>316</v>
      </c>
      <c r="D502" s="31" t="s">
        <v>1550</v>
      </c>
      <c r="E502" s="31">
        <v>17</v>
      </c>
      <c r="F502" s="31">
        <v>17</v>
      </c>
      <c r="G502" s="9">
        <v>0</v>
      </c>
      <c r="H502" s="7" t="s">
        <v>1249</v>
      </c>
      <c r="I502" s="7" t="s">
        <v>1438</v>
      </c>
    </row>
    <row r="503" spans="1:9" ht="63.75" x14ac:dyDescent="0.25">
      <c r="A503" s="33" t="s">
        <v>930</v>
      </c>
      <c r="B503" s="31" t="s">
        <v>929</v>
      </c>
      <c r="C503" s="31" t="s">
        <v>67</v>
      </c>
      <c r="D503" s="31" t="s">
        <v>1550</v>
      </c>
      <c r="E503" s="31">
        <v>11</v>
      </c>
      <c r="F503" s="31">
        <v>11</v>
      </c>
      <c r="G503" s="9">
        <v>0</v>
      </c>
      <c r="H503" s="7" t="s">
        <v>1245</v>
      </c>
      <c r="I503" s="7" t="s">
        <v>1438</v>
      </c>
    </row>
    <row r="504" spans="1:9" ht="38.25" x14ac:dyDescent="0.25">
      <c r="A504" s="33" t="s">
        <v>930</v>
      </c>
      <c r="B504" s="31" t="s">
        <v>929</v>
      </c>
      <c r="C504" s="31" t="s">
        <v>67</v>
      </c>
      <c r="D504" s="31" t="s">
        <v>1550</v>
      </c>
      <c r="E504" s="31">
        <v>22</v>
      </c>
      <c r="F504" s="31">
        <v>22</v>
      </c>
      <c r="G504" s="9">
        <v>0</v>
      </c>
      <c r="H504" s="7" t="s">
        <v>1238</v>
      </c>
      <c r="I504" s="7" t="s">
        <v>1438</v>
      </c>
    </row>
    <row r="505" spans="1:9" ht="63.75" x14ac:dyDescent="0.25">
      <c r="A505" s="33" t="s">
        <v>930</v>
      </c>
      <c r="B505" s="31" t="s">
        <v>929</v>
      </c>
      <c r="C505" s="31" t="s">
        <v>67</v>
      </c>
      <c r="D505" s="31" t="s">
        <v>1550</v>
      </c>
      <c r="E505" s="31">
        <v>30</v>
      </c>
      <c r="F505" s="31">
        <v>30</v>
      </c>
      <c r="G505" s="9">
        <v>0</v>
      </c>
      <c r="H505" s="7" t="s">
        <v>1234</v>
      </c>
      <c r="I505" s="7" t="s">
        <v>1438</v>
      </c>
    </row>
    <row r="506" spans="1:9" ht="140.25" x14ac:dyDescent="0.25">
      <c r="A506" s="33" t="s">
        <v>930</v>
      </c>
      <c r="B506" s="31" t="s">
        <v>929</v>
      </c>
      <c r="C506" s="31" t="s">
        <v>67</v>
      </c>
      <c r="D506" s="31" t="s">
        <v>1550</v>
      </c>
      <c r="E506" s="31">
        <v>42</v>
      </c>
      <c r="F506" s="31">
        <v>42</v>
      </c>
      <c r="G506" s="9">
        <v>0</v>
      </c>
      <c r="H506" s="7" t="s">
        <v>1227</v>
      </c>
      <c r="I506" s="7" t="s">
        <v>1438</v>
      </c>
    </row>
    <row r="507" spans="1:9" ht="89.25" x14ac:dyDescent="0.25">
      <c r="A507" s="33" t="s">
        <v>930</v>
      </c>
      <c r="B507" s="31" t="s">
        <v>929</v>
      </c>
      <c r="C507" s="31" t="s">
        <v>67</v>
      </c>
      <c r="D507" s="31" t="s">
        <v>1550</v>
      </c>
      <c r="E507" s="31">
        <v>45</v>
      </c>
      <c r="F507" s="31">
        <v>45</v>
      </c>
      <c r="G507" s="9">
        <v>0</v>
      </c>
      <c r="H507" s="7" t="s">
        <v>1226</v>
      </c>
      <c r="I507" s="7" t="s">
        <v>1438</v>
      </c>
    </row>
    <row r="508" spans="1:9" ht="127.5" x14ac:dyDescent="0.25">
      <c r="A508" s="33" t="s">
        <v>930</v>
      </c>
      <c r="B508" s="31" t="s">
        <v>929</v>
      </c>
      <c r="C508" s="31" t="s">
        <v>399</v>
      </c>
      <c r="D508" s="31" t="s">
        <v>1550</v>
      </c>
      <c r="E508" s="31">
        <v>18</v>
      </c>
      <c r="F508" s="31">
        <v>18</v>
      </c>
      <c r="G508" s="9">
        <v>0</v>
      </c>
      <c r="H508" s="7" t="s">
        <v>1219</v>
      </c>
      <c r="I508" s="7" t="s">
        <v>1438</v>
      </c>
    </row>
    <row r="509" spans="1:9" ht="140.25" x14ac:dyDescent="0.25">
      <c r="A509" s="33" t="s">
        <v>930</v>
      </c>
      <c r="B509" s="31" t="s">
        <v>929</v>
      </c>
      <c r="C509" s="31" t="s">
        <v>399</v>
      </c>
      <c r="D509" s="31" t="s">
        <v>1550</v>
      </c>
      <c r="E509" s="31">
        <v>19</v>
      </c>
      <c r="F509" s="31">
        <v>19</v>
      </c>
      <c r="G509" s="9">
        <v>0</v>
      </c>
      <c r="H509" s="7" t="s">
        <v>1218</v>
      </c>
      <c r="I509" s="7" t="s">
        <v>1438</v>
      </c>
    </row>
    <row r="510" spans="1:9" ht="102" x14ac:dyDescent="0.25">
      <c r="A510" s="33" t="s">
        <v>930</v>
      </c>
      <c r="B510" s="31" t="s">
        <v>929</v>
      </c>
      <c r="C510" s="31" t="s">
        <v>399</v>
      </c>
      <c r="D510" s="31" t="s">
        <v>1550</v>
      </c>
      <c r="E510" s="31">
        <v>26</v>
      </c>
      <c r="F510" s="31">
        <v>26</v>
      </c>
      <c r="G510" s="9">
        <v>0</v>
      </c>
      <c r="H510" s="7" t="s">
        <v>1215</v>
      </c>
      <c r="I510" s="7" t="s">
        <v>1438</v>
      </c>
    </row>
    <row r="511" spans="1:9" ht="102" x14ac:dyDescent="0.25">
      <c r="A511" s="33" t="s">
        <v>930</v>
      </c>
      <c r="B511" s="31" t="s">
        <v>929</v>
      </c>
      <c r="C511" s="31" t="s">
        <v>399</v>
      </c>
      <c r="D511" s="31" t="s">
        <v>1550</v>
      </c>
      <c r="E511" s="31">
        <v>27</v>
      </c>
      <c r="F511" s="31">
        <v>27</v>
      </c>
      <c r="G511" s="9">
        <v>0</v>
      </c>
      <c r="H511" s="7" t="s">
        <v>1214</v>
      </c>
      <c r="I511" s="7" t="s">
        <v>1438</v>
      </c>
    </row>
    <row r="512" spans="1:9" ht="102" x14ac:dyDescent="0.25">
      <c r="A512" s="33" t="s">
        <v>930</v>
      </c>
      <c r="B512" s="31" t="s">
        <v>929</v>
      </c>
      <c r="C512" s="31" t="s">
        <v>258</v>
      </c>
      <c r="D512" s="31" t="s">
        <v>1550</v>
      </c>
      <c r="E512" s="31">
        <v>20</v>
      </c>
      <c r="F512" s="31">
        <v>20</v>
      </c>
      <c r="G512" s="9">
        <v>0</v>
      </c>
      <c r="H512" s="7" t="s">
        <v>1202</v>
      </c>
      <c r="I512" s="7" t="s">
        <v>1438</v>
      </c>
    </row>
    <row r="513" spans="1:9" ht="76.5" x14ac:dyDescent="0.25">
      <c r="A513" s="33" t="s">
        <v>930</v>
      </c>
      <c r="B513" s="31" t="s">
        <v>929</v>
      </c>
      <c r="C513" s="31" t="s">
        <v>737</v>
      </c>
      <c r="D513" s="31" t="s">
        <v>1550</v>
      </c>
      <c r="E513" s="31">
        <v>12</v>
      </c>
      <c r="F513" s="31">
        <v>12</v>
      </c>
      <c r="G513" s="9">
        <v>0</v>
      </c>
      <c r="H513" s="7" t="s">
        <v>1196</v>
      </c>
      <c r="I513" s="7" t="s">
        <v>1438</v>
      </c>
    </row>
    <row r="514" spans="1:9" ht="89.25" x14ac:dyDescent="0.25">
      <c r="A514" s="33" t="s">
        <v>930</v>
      </c>
      <c r="B514" s="31" t="s">
        <v>929</v>
      </c>
      <c r="C514" s="31" t="s">
        <v>532</v>
      </c>
      <c r="D514" s="31" t="s">
        <v>1550</v>
      </c>
      <c r="E514" s="31">
        <v>4</v>
      </c>
      <c r="F514" s="31">
        <v>4</v>
      </c>
      <c r="G514" s="9">
        <v>0</v>
      </c>
      <c r="H514" s="7" t="s">
        <v>1189</v>
      </c>
      <c r="I514" s="7" t="s">
        <v>1438</v>
      </c>
    </row>
    <row r="515" spans="1:9" ht="102" x14ac:dyDescent="0.25">
      <c r="A515" s="33" t="s">
        <v>930</v>
      </c>
      <c r="B515" s="31" t="s">
        <v>929</v>
      </c>
      <c r="C515" s="31" t="s">
        <v>532</v>
      </c>
      <c r="D515" s="31" t="s">
        <v>1550</v>
      </c>
      <c r="E515" s="31">
        <v>6</v>
      </c>
      <c r="F515" s="31">
        <v>6</v>
      </c>
      <c r="G515" s="9">
        <v>0</v>
      </c>
      <c r="H515" s="7" t="s">
        <v>1188</v>
      </c>
      <c r="I515" s="7" t="s">
        <v>1438</v>
      </c>
    </row>
    <row r="516" spans="1:9" ht="102" x14ac:dyDescent="0.25">
      <c r="A516" s="33" t="s">
        <v>930</v>
      </c>
      <c r="B516" s="31" t="s">
        <v>929</v>
      </c>
      <c r="C516" s="31" t="s">
        <v>532</v>
      </c>
      <c r="D516" s="31" t="s">
        <v>1550</v>
      </c>
      <c r="E516" s="31">
        <v>16</v>
      </c>
      <c r="F516" s="31">
        <v>16</v>
      </c>
      <c r="G516" s="9">
        <v>0</v>
      </c>
      <c r="H516" s="7" t="s">
        <v>1185</v>
      </c>
      <c r="I516" s="7" t="s">
        <v>1438</v>
      </c>
    </row>
    <row r="517" spans="1:9" ht="127.5" x14ac:dyDescent="0.25">
      <c r="A517" s="33" t="s">
        <v>930</v>
      </c>
      <c r="B517" s="31" t="s">
        <v>929</v>
      </c>
      <c r="C517" s="31" t="s">
        <v>532</v>
      </c>
      <c r="D517" s="31" t="s">
        <v>1550</v>
      </c>
      <c r="E517" s="31">
        <v>22</v>
      </c>
      <c r="F517" s="31">
        <v>22</v>
      </c>
      <c r="G517" s="9">
        <v>0</v>
      </c>
      <c r="H517" s="7" t="s">
        <v>1184</v>
      </c>
      <c r="I517" s="7" t="s">
        <v>1438</v>
      </c>
    </row>
    <row r="518" spans="1:9" ht="63.75" x14ac:dyDescent="0.25">
      <c r="A518" s="33" t="s">
        <v>930</v>
      </c>
      <c r="B518" s="31" t="s">
        <v>929</v>
      </c>
      <c r="C518" s="31" t="s">
        <v>675</v>
      </c>
      <c r="D518" s="31" t="s">
        <v>1550</v>
      </c>
      <c r="E518" s="31">
        <v>30</v>
      </c>
      <c r="F518" s="31">
        <v>30</v>
      </c>
      <c r="G518" s="9">
        <v>0</v>
      </c>
      <c r="H518" s="7" t="s">
        <v>1178</v>
      </c>
      <c r="I518" s="7" t="s">
        <v>1438</v>
      </c>
    </row>
    <row r="519" spans="1:9" ht="165.75" x14ac:dyDescent="0.25">
      <c r="A519" s="33" t="s">
        <v>930</v>
      </c>
      <c r="B519" s="31" t="s">
        <v>929</v>
      </c>
      <c r="C519" s="31" t="s">
        <v>675</v>
      </c>
      <c r="D519" s="31" t="s">
        <v>1550</v>
      </c>
      <c r="E519" s="31">
        <v>32</v>
      </c>
      <c r="F519" s="31">
        <v>32</v>
      </c>
      <c r="G519" s="9">
        <v>0</v>
      </c>
      <c r="H519" s="7" t="s">
        <v>1177</v>
      </c>
      <c r="I519" s="7" t="s">
        <v>1438</v>
      </c>
    </row>
    <row r="520" spans="1:9" ht="127.5" x14ac:dyDescent="0.25">
      <c r="A520" s="33" t="s">
        <v>930</v>
      </c>
      <c r="B520" s="31" t="s">
        <v>929</v>
      </c>
      <c r="C520" s="31" t="s">
        <v>487</v>
      </c>
      <c r="D520" s="31" t="s">
        <v>1550</v>
      </c>
      <c r="E520" s="31">
        <v>16</v>
      </c>
      <c r="F520" s="31">
        <v>16</v>
      </c>
      <c r="G520" s="9">
        <v>0</v>
      </c>
      <c r="H520" s="7" t="s">
        <v>1158</v>
      </c>
      <c r="I520" s="7" t="s">
        <v>1438</v>
      </c>
    </row>
    <row r="521" spans="1:9" ht="204" x14ac:dyDescent="0.25">
      <c r="A521" s="33" t="s">
        <v>930</v>
      </c>
      <c r="B521" s="31" t="s">
        <v>929</v>
      </c>
      <c r="C521" s="31" t="s">
        <v>487</v>
      </c>
      <c r="D521" s="31" t="s">
        <v>1550</v>
      </c>
      <c r="E521" s="31">
        <v>25</v>
      </c>
      <c r="F521" s="31">
        <v>25</v>
      </c>
      <c r="G521" s="9">
        <v>0</v>
      </c>
      <c r="H521" s="7" t="s">
        <v>1157</v>
      </c>
      <c r="I521" s="7" t="s">
        <v>1438</v>
      </c>
    </row>
    <row r="522" spans="1:9" ht="114.75" x14ac:dyDescent="0.25">
      <c r="A522" s="33" t="s">
        <v>930</v>
      </c>
      <c r="B522" s="31" t="s">
        <v>929</v>
      </c>
      <c r="C522" s="31" t="s">
        <v>57</v>
      </c>
      <c r="D522" s="31" t="s">
        <v>1550</v>
      </c>
      <c r="E522" s="31">
        <v>8</v>
      </c>
      <c r="F522" s="31">
        <v>8</v>
      </c>
      <c r="G522" s="9">
        <v>0</v>
      </c>
      <c r="H522" s="7" t="s">
        <v>1141</v>
      </c>
      <c r="I522" s="7" t="s">
        <v>1438</v>
      </c>
    </row>
    <row r="523" spans="1:9" ht="102" x14ac:dyDescent="0.25">
      <c r="A523" s="33" t="s">
        <v>930</v>
      </c>
      <c r="B523" s="31" t="s">
        <v>929</v>
      </c>
      <c r="C523" s="31" t="s">
        <v>57</v>
      </c>
      <c r="D523" s="31" t="s">
        <v>1550</v>
      </c>
      <c r="E523" s="31">
        <v>10</v>
      </c>
      <c r="F523" s="31">
        <v>10</v>
      </c>
      <c r="G523" s="9">
        <v>0</v>
      </c>
      <c r="H523" s="7" t="s">
        <v>1140</v>
      </c>
      <c r="I523" s="7" t="s">
        <v>1438</v>
      </c>
    </row>
    <row r="524" spans="1:9" ht="204" x14ac:dyDescent="0.25">
      <c r="A524" s="33" t="s">
        <v>930</v>
      </c>
      <c r="B524" s="31" t="s">
        <v>929</v>
      </c>
      <c r="C524" s="31" t="s">
        <v>57</v>
      </c>
      <c r="D524" s="31" t="s">
        <v>1550</v>
      </c>
      <c r="E524" s="31">
        <v>19</v>
      </c>
      <c r="F524" s="31">
        <v>20</v>
      </c>
      <c r="G524" s="9">
        <v>0</v>
      </c>
      <c r="H524" s="7" t="s">
        <v>1137</v>
      </c>
      <c r="I524" s="7" t="s">
        <v>1438</v>
      </c>
    </row>
    <row r="525" spans="1:9" ht="293.25" x14ac:dyDescent="0.25">
      <c r="A525" s="33" t="s">
        <v>930</v>
      </c>
      <c r="B525" s="31" t="s">
        <v>929</v>
      </c>
      <c r="C525" s="31" t="s">
        <v>57</v>
      </c>
      <c r="D525" s="31" t="s">
        <v>1550</v>
      </c>
      <c r="E525" s="31">
        <v>25</v>
      </c>
      <c r="F525" s="31">
        <v>26</v>
      </c>
      <c r="G525" s="9">
        <v>0</v>
      </c>
      <c r="H525" s="7" t="s">
        <v>1135</v>
      </c>
      <c r="I525" s="7" t="s">
        <v>1438</v>
      </c>
    </row>
    <row r="526" spans="1:9" ht="102" x14ac:dyDescent="0.25">
      <c r="A526" s="33" t="s">
        <v>930</v>
      </c>
      <c r="B526" s="31" t="s">
        <v>929</v>
      </c>
      <c r="C526" s="31" t="s">
        <v>57</v>
      </c>
      <c r="D526" s="31" t="s">
        <v>1550</v>
      </c>
      <c r="E526" s="31">
        <v>29</v>
      </c>
      <c r="F526" s="31">
        <v>29</v>
      </c>
      <c r="G526" s="9">
        <v>0</v>
      </c>
      <c r="H526" s="7" t="s">
        <v>1134</v>
      </c>
      <c r="I526" s="7" t="s">
        <v>1438</v>
      </c>
    </row>
    <row r="527" spans="1:9" ht="102" x14ac:dyDescent="0.25">
      <c r="A527" s="33" t="s">
        <v>930</v>
      </c>
      <c r="B527" s="31" t="s">
        <v>929</v>
      </c>
      <c r="C527" s="31" t="s">
        <v>57</v>
      </c>
      <c r="D527" s="31" t="s">
        <v>1550</v>
      </c>
      <c r="E527" s="31">
        <v>33</v>
      </c>
      <c r="F527" s="31">
        <v>33</v>
      </c>
      <c r="G527" s="9">
        <v>0</v>
      </c>
      <c r="H527" s="7" t="s">
        <v>1132</v>
      </c>
      <c r="I527" s="7" t="s">
        <v>1438</v>
      </c>
    </row>
    <row r="528" spans="1:9" ht="178.5" x14ac:dyDescent="0.25">
      <c r="A528" s="33" t="s">
        <v>930</v>
      </c>
      <c r="B528" s="31" t="s">
        <v>929</v>
      </c>
      <c r="C528" s="31" t="s">
        <v>57</v>
      </c>
      <c r="D528" s="31" t="s">
        <v>1550</v>
      </c>
      <c r="E528" s="31">
        <v>34</v>
      </c>
      <c r="F528" s="31">
        <v>34</v>
      </c>
      <c r="G528" s="9">
        <v>0</v>
      </c>
      <c r="H528" s="7" t="s">
        <v>1131</v>
      </c>
      <c r="I528" s="7" t="s">
        <v>1438</v>
      </c>
    </row>
    <row r="529" spans="1:9" ht="255" x14ac:dyDescent="0.25">
      <c r="A529" s="33" t="s">
        <v>930</v>
      </c>
      <c r="B529" s="31" t="s">
        <v>929</v>
      </c>
      <c r="C529" s="31" t="s">
        <v>57</v>
      </c>
      <c r="D529" s="31" t="s">
        <v>1550</v>
      </c>
      <c r="E529" s="31">
        <v>36</v>
      </c>
      <c r="F529" s="31">
        <v>38</v>
      </c>
      <c r="G529" s="9">
        <v>0</v>
      </c>
      <c r="H529" s="7" t="s">
        <v>1130</v>
      </c>
      <c r="I529" s="7" t="s">
        <v>1438</v>
      </c>
    </row>
    <row r="530" spans="1:9" ht="178.5" x14ac:dyDescent="0.25">
      <c r="A530" s="33" t="s">
        <v>930</v>
      </c>
      <c r="B530" s="31" t="s">
        <v>929</v>
      </c>
      <c r="C530" s="31" t="s">
        <v>724</v>
      </c>
      <c r="D530" s="31" t="s">
        <v>1550</v>
      </c>
      <c r="E530" s="31">
        <v>17</v>
      </c>
      <c r="F530" s="31">
        <v>17</v>
      </c>
      <c r="G530" s="9">
        <v>0</v>
      </c>
      <c r="H530" s="7" t="s">
        <v>1119</v>
      </c>
      <c r="I530" s="7" t="s">
        <v>1438</v>
      </c>
    </row>
    <row r="531" spans="1:9" ht="114.75" x14ac:dyDescent="0.25">
      <c r="A531" s="33" t="s">
        <v>930</v>
      </c>
      <c r="B531" s="31" t="s">
        <v>929</v>
      </c>
      <c r="C531" s="31" t="s">
        <v>603</v>
      </c>
      <c r="D531" s="31" t="s">
        <v>1550</v>
      </c>
      <c r="E531" s="31">
        <v>11</v>
      </c>
      <c r="F531" s="31">
        <v>11</v>
      </c>
      <c r="G531" s="9">
        <v>0</v>
      </c>
      <c r="H531" s="7" t="s">
        <v>1090</v>
      </c>
      <c r="I531" s="7" t="s">
        <v>1438</v>
      </c>
    </row>
    <row r="532" spans="1:9" ht="102" x14ac:dyDescent="0.25">
      <c r="A532" s="33" t="s">
        <v>930</v>
      </c>
      <c r="B532" s="31" t="s">
        <v>929</v>
      </c>
      <c r="C532" s="31" t="s">
        <v>616</v>
      </c>
      <c r="D532" s="31" t="s">
        <v>1550</v>
      </c>
      <c r="E532" s="31">
        <v>21</v>
      </c>
      <c r="F532" s="31">
        <v>21</v>
      </c>
      <c r="G532" s="9">
        <v>0</v>
      </c>
      <c r="H532" s="7" t="s">
        <v>1072</v>
      </c>
      <c r="I532" s="7" t="s">
        <v>1438</v>
      </c>
    </row>
    <row r="533" spans="1:9" ht="255" x14ac:dyDescent="0.25">
      <c r="A533" s="33" t="s">
        <v>930</v>
      </c>
      <c r="B533" s="31" t="s">
        <v>929</v>
      </c>
      <c r="C533" s="31" t="s">
        <v>616</v>
      </c>
      <c r="D533" s="31" t="s">
        <v>1550</v>
      </c>
      <c r="E533" s="31">
        <v>32</v>
      </c>
      <c r="F533" s="31">
        <v>32</v>
      </c>
      <c r="G533" s="9">
        <v>0</v>
      </c>
      <c r="H533" s="7" t="s">
        <v>1067</v>
      </c>
      <c r="I533" s="7" t="s">
        <v>1438</v>
      </c>
    </row>
    <row r="534" spans="1:9" ht="102" x14ac:dyDescent="0.25">
      <c r="A534" s="33" t="s">
        <v>930</v>
      </c>
      <c r="B534" s="31" t="s">
        <v>929</v>
      </c>
      <c r="C534" s="31" t="s">
        <v>128</v>
      </c>
      <c r="D534" s="31" t="s">
        <v>1550</v>
      </c>
      <c r="E534" s="31">
        <v>33</v>
      </c>
      <c r="F534" s="31">
        <v>33</v>
      </c>
      <c r="G534" s="9">
        <v>0</v>
      </c>
      <c r="H534" s="7" t="s">
        <v>1062</v>
      </c>
      <c r="I534" s="7" t="s">
        <v>1438</v>
      </c>
    </row>
    <row r="535" spans="1:9" ht="114.75" x14ac:dyDescent="0.25">
      <c r="A535" s="33" t="s">
        <v>930</v>
      </c>
      <c r="B535" s="31" t="s">
        <v>929</v>
      </c>
      <c r="C535" s="31" t="s">
        <v>272</v>
      </c>
      <c r="D535" s="31" t="s">
        <v>1550</v>
      </c>
      <c r="E535" s="31">
        <v>16</v>
      </c>
      <c r="F535" s="31">
        <v>16</v>
      </c>
      <c r="G535" s="9">
        <v>0</v>
      </c>
      <c r="H535" s="7" t="s">
        <v>1045</v>
      </c>
      <c r="I535" s="7" t="s">
        <v>1438</v>
      </c>
    </row>
    <row r="536" spans="1:9" ht="89.25" x14ac:dyDescent="0.25">
      <c r="A536" s="33" t="s">
        <v>930</v>
      </c>
      <c r="B536" s="31" t="s">
        <v>929</v>
      </c>
      <c r="C536" s="31" t="s">
        <v>272</v>
      </c>
      <c r="D536" s="31" t="s">
        <v>1550</v>
      </c>
      <c r="E536" s="31">
        <v>18</v>
      </c>
      <c r="F536" s="31">
        <v>18</v>
      </c>
      <c r="G536" s="9">
        <v>0</v>
      </c>
      <c r="H536" s="7" t="s">
        <v>1043</v>
      </c>
      <c r="I536" s="7" t="s">
        <v>1438</v>
      </c>
    </row>
    <row r="537" spans="1:9" ht="76.5" x14ac:dyDescent="0.25">
      <c r="A537" s="33" t="s">
        <v>930</v>
      </c>
      <c r="B537" s="31" t="s">
        <v>929</v>
      </c>
      <c r="C537" s="31" t="s">
        <v>693</v>
      </c>
      <c r="D537" s="31" t="s">
        <v>1550</v>
      </c>
      <c r="E537" s="31">
        <v>17</v>
      </c>
      <c r="F537" s="31">
        <v>17</v>
      </c>
      <c r="G537" s="9">
        <v>0</v>
      </c>
      <c r="H537" s="7" t="s">
        <v>1032</v>
      </c>
      <c r="I537" s="7" t="s">
        <v>1438</v>
      </c>
    </row>
    <row r="538" spans="1:9" ht="140.25" x14ac:dyDescent="0.25">
      <c r="A538" s="33" t="s">
        <v>930</v>
      </c>
      <c r="B538" s="31" t="s">
        <v>929</v>
      </c>
      <c r="C538" s="31" t="s">
        <v>199</v>
      </c>
      <c r="D538" s="31" t="s">
        <v>1550</v>
      </c>
      <c r="E538" s="31">
        <v>9</v>
      </c>
      <c r="F538" s="31">
        <v>9</v>
      </c>
      <c r="G538" s="9">
        <v>0</v>
      </c>
      <c r="H538" s="7" t="s">
        <v>1025</v>
      </c>
      <c r="I538" s="7" t="s">
        <v>1438</v>
      </c>
    </row>
    <row r="539" spans="1:9" ht="255" x14ac:dyDescent="0.25">
      <c r="A539" s="33" t="s">
        <v>930</v>
      </c>
      <c r="B539" s="31" t="s">
        <v>929</v>
      </c>
      <c r="C539" s="31" t="s">
        <v>199</v>
      </c>
      <c r="D539" s="31" t="s">
        <v>1550</v>
      </c>
      <c r="E539" s="31">
        <v>25</v>
      </c>
      <c r="F539" s="31">
        <v>27</v>
      </c>
      <c r="G539" s="9">
        <v>0</v>
      </c>
      <c r="H539" s="7" t="s">
        <v>1019</v>
      </c>
      <c r="I539" s="7" t="s">
        <v>1438</v>
      </c>
    </row>
    <row r="540" spans="1:9" ht="63.75" x14ac:dyDescent="0.25">
      <c r="A540" s="33" t="s">
        <v>930</v>
      </c>
      <c r="B540" s="31" t="s">
        <v>929</v>
      </c>
      <c r="C540" s="31" t="s">
        <v>199</v>
      </c>
      <c r="D540" s="31" t="s">
        <v>1550</v>
      </c>
      <c r="E540" s="31">
        <v>30</v>
      </c>
      <c r="F540" s="31">
        <v>30</v>
      </c>
      <c r="G540" s="9">
        <v>0</v>
      </c>
      <c r="H540" s="7" t="s">
        <v>1018</v>
      </c>
      <c r="I540" s="7" t="s">
        <v>1438</v>
      </c>
    </row>
    <row r="541" spans="1:9" ht="140.25" x14ac:dyDescent="0.25">
      <c r="A541" s="33" t="s">
        <v>930</v>
      </c>
      <c r="B541" s="31" t="s">
        <v>929</v>
      </c>
      <c r="C541" s="31" t="s">
        <v>454</v>
      </c>
      <c r="D541" s="31" t="s">
        <v>1550</v>
      </c>
      <c r="E541" s="31">
        <v>5</v>
      </c>
      <c r="F541" s="31">
        <v>5</v>
      </c>
      <c r="G541" s="9">
        <v>0</v>
      </c>
      <c r="H541" s="7" t="s">
        <v>1002</v>
      </c>
      <c r="I541" s="7" t="s">
        <v>1438</v>
      </c>
    </row>
    <row r="542" spans="1:9" ht="140.25" x14ac:dyDescent="0.25">
      <c r="A542" s="33" t="s">
        <v>930</v>
      </c>
      <c r="B542" s="31" t="s">
        <v>929</v>
      </c>
      <c r="C542" s="31" t="s">
        <v>454</v>
      </c>
      <c r="D542" s="31" t="s">
        <v>1550</v>
      </c>
      <c r="E542" s="31">
        <v>15</v>
      </c>
      <c r="F542" s="31">
        <v>15</v>
      </c>
      <c r="G542" s="9">
        <v>0</v>
      </c>
      <c r="H542" s="7" t="s">
        <v>999</v>
      </c>
      <c r="I542" s="7" t="s">
        <v>1438</v>
      </c>
    </row>
    <row r="543" spans="1:9" ht="255" x14ac:dyDescent="0.25">
      <c r="A543" s="33" t="s">
        <v>930</v>
      </c>
      <c r="B543" s="31" t="s">
        <v>929</v>
      </c>
      <c r="C543" s="31" t="s">
        <v>454</v>
      </c>
      <c r="D543" s="31" t="s">
        <v>1550</v>
      </c>
      <c r="E543" s="31">
        <v>21</v>
      </c>
      <c r="F543" s="31">
        <v>23</v>
      </c>
      <c r="G543" s="9">
        <v>0</v>
      </c>
      <c r="H543" s="7" t="s">
        <v>998</v>
      </c>
      <c r="I543" s="7" t="s">
        <v>1438</v>
      </c>
    </row>
    <row r="544" spans="1:9" ht="395.25" x14ac:dyDescent="0.25">
      <c r="A544" s="33" t="s">
        <v>930</v>
      </c>
      <c r="B544" s="31" t="s">
        <v>929</v>
      </c>
      <c r="C544" s="31" t="s">
        <v>664</v>
      </c>
      <c r="D544" s="31" t="s">
        <v>1550</v>
      </c>
      <c r="E544" s="31">
        <v>18</v>
      </c>
      <c r="F544" s="31">
        <v>21</v>
      </c>
      <c r="G544" s="9">
        <v>0</v>
      </c>
      <c r="H544" s="7" t="s">
        <v>985</v>
      </c>
      <c r="I544" s="7" t="s">
        <v>1438</v>
      </c>
    </row>
    <row r="545" spans="1:9" ht="191.25" x14ac:dyDescent="0.25">
      <c r="A545" s="33" t="s">
        <v>930</v>
      </c>
      <c r="B545" s="31" t="s">
        <v>929</v>
      </c>
      <c r="C545" s="31" t="s">
        <v>654</v>
      </c>
      <c r="D545" s="31" t="s">
        <v>1550</v>
      </c>
      <c r="E545" s="31">
        <v>6</v>
      </c>
      <c r="F545" s="31">
        <v>6</v>
      </c>
      <c r="G545" s="9">
        <v>0</v>
      </c>
      <c r="H545" s="7" t="s">
        <v>938</v>
      </c>
      <c r="I545" s="7" t="s">
        <v>1438</v>
      </c>
    </row>
    <row r="546" spans="1:9" ht="178.5" x14ac:dyDescent="0.25">
      <c r="A546" s="33" t="s">
        <v>930</v>
      </c>
      <c r="B546" s="31" t="s">
        <v>929</v>
      </c>
      <c r="C546" s="31" t="s">
        <v>654</v>
      </c>
      <c r="D546" s="31" t="s">
        <v>1550</v>
      </c>
      <c r="E546" s="31">
        <v>7</v>
      </c>
      <c r="F546" s="31">
        <v>7</v>
      </c>
      <c r="G546" s="9">
        <v>0</v>
      </c>
      <c r="H546" s="7" t="s">
        <v>937</v>
      </c>
      <c r="I546" s="7" t="s">
        <v>1438</v>
      </c>
    </row>
    <row r="547" spans="1:9" ht="76.5" x14ac:dyDescent="0.25">
      <c r="A547" s="33" t="s">
        <v>930</v>
      </c>
      <c r="B547" s="31" t="s">
        <v>929</v>
      </c>
      <c r="C547" s="31" t="s">
        <v>654</v>
      </c>
      <c r="D547" s="31" t="s">
        <v>1550</v>
      </c>
      <c r="E547" s="31">
        <v>31</v>
      </c>
      <c r="F547" s="31">
        <v>31</v>
      </c>
      <c r="G547" s="9">
        <v>0</v>
      </c>
      <c r="H547" s="7" t="s">
        <v>932</v>
      </c>
      <c r="I547" s="7" t="s">
        <v>1438</v>
      </c>
    </row>
    <row r="548" spans="1:9" ht="114.75" x14ac:dyDescent="0.25">
      <c r="A548" s="33" t="s">
        <v>930</v>
      </c>
      <c r="B548" s="31" t="s">
        <v>929</v>
      </c>
      <c r="C548" s="31" t="s">
        <v>654</v>
      </c>
      <c r="D548" s="31" t="s">
        <v>1550</v>
      </c>
      <c r="E548" s="31">
        <v>32</v>
      </c>
      <c r="F548" s="31">
        <v>32</v>
      </c>
      <c r="G548" s="9">
        <v>0</v>
      </c>
      <c r="H548" s="7" t="s">
        <v>931</v>
      </c>
      <c r="I548" s="7" t="s">
        <v>1438</v>
      </c>
    </row>
    <row r="549" spans="1:9" ht="153" x14ac:dyDescent="0.25">
      <c r="A549" s="33" t="s">
        <v>930</v>
      </c>
      <c r="B549" s="31" t="s">
        <v>929</v>
      </c>
      <c r="C549" s="31" t="s">
        <v>351</v>
      </c>
      <c r="D549" s="31" t="s">
        <v>1551</v>
      </c>
      <c r="E549" s="31">
        <v>27</v>
      </c>
      <c r="F549" s="31">
        <v>28</v>
      </c>
      <c r="G549" s="9">
        <v>0</v>
      </c>
      <c r="H549" s="7" t="s">
        <v>1421</v>
      </c>
      <c r="I549" s="7" t="s">
        <v>1438</v>
      </c>
    </row>
    <row r="550" spans="1:9" ht="63.75" x14ac:dyDescent="0.25">
      <c r="A550" s="33" t="s">
        <v>930</v>
      </c>
      <c r="B550" s="31" t="s">
        <v>929</v>
      </c>
      <c r="C550" s="31" t="s">
        <v>918</v>
      </c>
      <c r="D550" s="31" t="s">
        <v>1551</v>
      </c>
      <c r="E550" s="31">
        <v>8</v>
      </c>
      <c r="F550" s="31">
        <v>8</v>
      </c>
      <c r="G550" s="9">
        <v>0</v>
      </c>
      <c r="H550" s="7" t="s">
        <v>1416</v>
      </c>
      <c r="I550" s="7" t="s">
        <v>1438</v>
      </c>
    </row>
    <row r="551" spans="1:9" ht="178.5" x14ac:dyDescent="0.25">
      <c r="A551" s="33" t="s">
        <v>930</v>
      </c>
      <c r="B551" s="31" t="s">
        <v>929</v>
      </c>
      <c r="C551" s="31" t="s">
        <v>918</v>
      </c>
      <c r="D551" s="31" t="s">
        <v>1551</v>
      </c>
      <c r="E551" s="31">
        <v>16</v>
      </c>
      <c r="F551" s="31">
        <v>19</v>
      </c>
      <c r="G551" s="9">
        <v>0</v>
      </c>
      <c r="H551" s="7" t="s">
        <v>1410</v>
      </c>
      <c r="I551" s="7" t="s">
        <v>1438</v>
      </c>
    </row>
    <row r="552" spans="1:9" ht="229.5" x14ac:dyDescent="0.25">
      <c r="A552" s="33" t="s">
        <v>930</v>
      </c>
      <c r="B552" s="31" t="s">
        <v>929</v>
      </c>
      <c r="C552" s="31" t="s">
        <v>21</v>
      </c>
      <c r="D552" s="31" t="s">
        <v>1551</v>
      </c>
      <c r="E552" s="31">
        <v>17</v>
      </c>
      <c r="F552" s="31">
        <v>18</v>
      </c>
      <c r="G552" s="9">
        <v>0</v>
      </c>
      <c r="H552" s="7" t="s">
        <v>1391</v>
      </c>
      <c r="I552" s="7" t="s">
        <v>1438</v>
      </c>
    </row>
    <row r="553" spans="1:9" ht="102" x14ac:dyDescent="0.25">
      <c r="A553" s="33" t="s">
        <v>930</v>
      </c>
      <c r="B553" s="31" t="s">
        <v>929</v>
      </c>
      <c r="C553" s="31" t="s">
        <v>21</v>
      </c>
      <c r="D553" s="31" t="s">
        <v>1551</v>
      </c>
      <c r="E553" s="31">
        <v>19</v>
      </c>
      <c r="F553" s="31">
        <v>19</v>
      </c>
      <c r="G553" s="9">
        <v>0</v>
      </c>
      <c r="H553" s="7" t="s">
        <v>1390</v>
      </c>
      <c r="I553" s="7" t="s">
        <v>1438</v>
      </c>
    </row>
    <row r="554" spans="1:9" ht="114.75" x14ac:dyDescent="0.25">
      <c r="A554" s="33" t="s">
        <v>930</v>
      </c>
      <c r="B554" s="31" t="s">
        <v>929</v>
      </c>
      <c r="C554" s="31" t="s">
        <v>21</v>
      </c>
      <c r="D554" s="31" t="s">
        <v>1551</v>
      </c>
      <c r="E554" s="31">
        <v>42</v>
      </c>
      <c r="F554" s="31">
        <v>42</v>
      </c>
      <c r="G554" s="9">
        <v>0</v>
      </c>
      <c r="H554" s="7" t="s">
        <v>1386</v>
      </c>
      <c r="I554" s="7" t="s">
        <v>1438</v>
      </c>
    </row>
    <row r="555" spans="1:9" ht="76.5" x14ac:dyDescent="0.25">
      <c r="A555" s="33" t="s">
        <v>930</v>
      </c>
      <c r="B555" s="31" t="s">
        <v>929</v>
      </c>
      <c r="C555" s="31" t="s">
        <v>1667</v>
      </c>
      <c r="D555" s="31" t="s">
        <v>1551</v>
      </c>
      <c r="E555" s="31">
        <v>44</v>
      </c>
      <c r="F555" s="31">
        <v>44</v>
      </c>
      <c r="G555" s="9">
        <v>0</v>
      </c>
      <c r="H555" s="7" t="s">
        <v>1378</v>
      </c>
      <c r="I555" s="7" t="s">
        <v>1438</v>
      </c>
    </row>
    <row r="556" spans="1:9" ht="409.5" x14ac:dyDescent="0.25">
      <c r="A556" s="33" t="s">
        <v>930</v>
      </c>
      <c r="B556" s="31" t="s">
        <v>929</v>
      </c>
      <c r="C556" s="31" t="s">
        <v>500</v>
      </c>
      <c r="D556" s="31" t="s">
        <v>1551</v>
      </c>
      <c r="E556" s="31">
        <v>10</v>
      </c>
      <c r="F556" s="31">
        <v>12</v>
      </c>
      <c r="G556" s="9">
        <v>0</v>
      </c>
      <c r="H556" s="7" t="s">
        <v>1376</v>
      </c>
      <c r="I556" s="7" t="s">
        <v>1438</v>
      </c>
    </row>
    <row r="557" spans="1:9" ht="409.5" x14ac:dyDescent="0.25">
      <c r="A557" s="33" t="s">
        <v>930</v>
      </c>
      <c r="B557" s="31" t="s">
        <v>929</v>
      </c>
      <c r="C557" s="31" t="s">
        <v>500</v>
      </c>
      <c r="D557" s="31" t="s">
        <v>1551</v>
      </c>
      <c r="E557" s="31">
        <v>21</v>
      </c>
      <c r="F557" s="31">
        <v>24</v>
      </c>
      <c r="G557" s="9">
        <v>0</v>
      </c>
      <c r="H557" s="7" t="s">
        <v>1374</v>
      </c>
      <c r="I557" s="7" t="s">
        <v>1438</v>
      </c>
    </row>
    <row r="558" spans="1:9" ht="114.75" x14ac:dyDescent="0.25">
      <c r="A558" s="33" t="s">
        <v>930</v>
      </c>
      <c r="B558" s="31" t="s">
        <v>929</v>
      </c>
      <c r="C558" s="31" t="s">
        <v>361</v>
      </c>
      <c r="D558" s="31" t="s">
        <v>1551</v>
      </c>
      <c r="E558" s="31">
        <v>4</v>
      </c>
      <c r="F558" s="31">
        <v>4</v>
      </c>
      <c r="G558" s="9">
        <v>0</v>
      </c>
      <c r="H558" s="7" t="s">
        <v>1371</v>
      </c>
      <c r="I558" s="7" t="s">
        <v>1438</v>
      </c>
    </row>
    <row r="559" spans="1:9" ht="102" x14ac:dyDescent="0.25">
      <c r="A559" s="33" t="s">
        <v>930</v>
      </c>
      <c r="B559" s="31" t="s">
        <v>929</v>
      </c>
      <c r="C559" s="31" t="s">
        <v>361</v>
      </c>
      <c r="D559" s="31" t="s">
        <v>1551</v>
      </c>
      <c r="E559" s="31">
        <v>5</v>
      </c>
      <c r="F559" s="31">
        <v>5</v>
      </c>
      <c r="G559" s="9">
        <v>0</v>
      </c>
      <c r="H559" s="7" t="s">
        <v>1370</v>
      </c>
      <c r="I559" s="7" t="s">
        <v>1438</v>
      </c>
    </row>
    <row r="560" spans="1:9" ht="63.75" x14ac:dyDescent="0.25">
      <c r="A560" s="33" t="s">
        <v>930</v>
      </c>
      <c r="B560" s="31" t="s">
        <v>929</v>
      </c>
      <c r="C560" s="31" t="s">
        <v>361</v>
      </c>
      <c r="D560" s="31" t="s">
        <v>1551</v>
      </c>
      <c r="E560" s="31">
        <v>13</v>
      </c>
      <c r="F560" s="31">
        <v>13</v>
      </c>
      <c r="G560" s="9">
        <v>0</v>
      </c>
      <c r="H560" s="7" t="s">
        <v>1367</v>
      </c>
      <c r="I560" s="7" t="s">
        <v>1438</v>
      </c>
    </row>
    <row r="561" spans="1:9" ht="127.5" x14ac:dyDescent="0.25">
      <c r="A561" s="33" t="s">
        <v>930</v>
      </c>
      <c r="B561" s="31" t="s">
        <v>929</v>
      </c>
      <c r="C561" s="31" t="s">
        <v>361</v>
      </c>
      <c r="D561" s="31" t="s">
        <v>1551</v>
      </c>
      <c r="E561" s="31">
        <v>20</v>
      </c>
      <c r="F561" s="31">
        <v>20</v>
      </c>
      <c r="G561" s="9">
        <v>0</v>
      </c>
      <c r="H561" s="7" t="s">
        <v>1363</v>
      </c>
      <c r="I561" s="7" t="s">
        <v>1438</v>
      </c>
    </row>
    <row r="562" spans="1:9" ht="127.5" x14ac:dyDescent="0.25">
      <c r="A562" s="33" t="s">
        <v>930</v>
      </c>
      <c r="B562" s="31" t="s">
        <v>929</v>
      </c>
      <c r="C562" s="31" t="s">
        <v>588</v>
      </c>
      <c r="D562" s="31" t="s">
        <v>1551</v>
      </c>
      <c r="E562" s="31">
        <v>12</v>
      </c>
      <c r="F562" s="31">
        <v>12</v>
      </c>
      <c r="G562" s="9">
        <v>0</v>
      </c>
      <c r="H562" s="7" t="s">
        <v>1357</v>
      </c>
      <c r="I562" s="7" t="s">
        <v>1438</v>
      </c>
    </row>
    <row r="563" spans="1:9" ht="127.5" x14ac:dyDescent="0.25">
      <c r="A563" s="33" t="s">
        <v>930</v>
      </c>
      <c r="B563" s="31" t="s">
        <v>929</v>
      </c>
      <c r="C563" s="31" t="s">
        <v>411</v>
      </c>
      <c r="D563" s="31" t="s">
        <v>1551</v>
      </c>
      <c r="E563" s="31">
        <v>3</v>
      </c>
      <c r="F563" s="31">
        <v>3</v>
      </c>
      <c r="G563" s="9">
        <v>0</v>
      </c>
      <c r="H563" s="7" t="s">
        <v>1336</v>
      </c>
      <c r="I563" s="7" t="s">
        <v>1438</v>
      </c>
    </row>
    <row r="564" spans="1:9" ht="357" x14ac:dyDescent="0.25">
      <c r="A564" s="33" t="s">
        <v>930</v>
      </c>
      <c r="B564" s="31" t="s">
        <v>929</v>
      </c>
      <c r="C564" s="31" t="s">
        <v>685</v>
      </c>
      <c r="D564" s="31" t="s">
        <v>1551</v>
      </c>
      <c r="E564" s="31">
        <v>3</v>
      </c>
      <c r="F564" s="31">
        <v>6</v>
      </c>
      <c r="G564" s="9">
        <v>0</v>
      </c>
      <c r="H564" s="7" t="s">
        <v>1331</v>
      </c>
      <c r="I564" s="7" t="s">
        <v>1438</v>
      </c>
    </row>
    <row r="565" spans="1:9" ht="140.25" x14ac:dyDescent="0.25">
      <c r="A565" s="33" t="s">
        <v>930</v>
      </c>
      <c r="B565" s="31" t="s">
        <v>929</v>
      </c>
      <c r="C565" s="31" t="s">
        <v>685</v>
      </c>
      <c r="D565" s="31" t="s">
        <v>1551</v>
      </c>
      <c r="E565" s="31">
        <v>12</v>
      </c>
      <c r="F565" s="31">
        <v>12</v>
      </c>
      <c r="G565" s="9">
        <v>0</v>
      </c>
      <c r="H565" s="7" t="s">
        <v>1329</v>
      </c>
      <c r="I565" s="7" t="s">
        <v>1438</v>
      </c>
    </row>
    <row r="566" spans="1:9" ht="178.5" x14ac:dyDescent="0.25">
      <c r="A566" s="33" t="s">
        <v>930</v>
      </c>
      <c r="B566" s="31" t="s">
        <v>929</v>
      </c>
      <c r="C566" s="31" t="s">
        <v>685</v>
      </c>
      <c r="D566" s="31" t="s">
        <v>1551</v>
      </c>
      <c r="E566" s="31">
        <v>20</v>
      </c>
      <c r="F566" s="31">
        <v>21</v>
      </c>
      <c r="G566" s="9">
        <v>0</v>
      </c>
      <c r="H566" s="7" t="s">
        <v>1325</v>
      </c>
      <c r="I566" s="7" t="s">
        <v>1438</v>
      </c>
    </row>
    <row r="567" spans="1:9" ht="114.75" x14ac:dyDescent="0.25">
      <c r="A567" s="33" t="s">
        <v>930</v>
      </c>
      <c r="B567" s="31" t="s">
        <v>929</v>
      </c>
      <c r="C567" s="31" t="s">
        <v>474</v>
      </c>
      <c r="D567" s="31" t="s">
        <v>1551</v>
      </c>
      <c r="E567" s="31">
        <v>20</v>
      </c>
      <c r="F567" s="31">
        <v>20</v>
      </c>
      <c r="G567" s="9">
        <v>0</v>
      </c>
      <c r="H567" s="7" t="s">
        <v>1306</v>
      </c>
      <c r="I567" s="7" t="s">
        <v>1438</v>
      </c>
    </row>
    <row r="568" spans="1:9" ht="76.5" x14ac:dyDescent="0.25">
      <c r="A568" s="33" t="s">
        <v>930</v>
      </c>
      <c r="B568" s="31" t="s">
        <v>929</v>
      </c>
      <c r="C568" s="31" t="s">
        <v>474</v>
      </c>
      <c r="D568" s="31" t="s">
        <v>1551</v>
      </c>
      <c r="E568" s="31">
        <v>26</v>
      </c>
      <c r="F568" s="31">
        <v>26</v>
      </c>
      <c r="G568" s="9">
        <v>0</v>
      </c>
      <c r="H568" s="7" t="s">
        <v>1304</v>
      </c>
      <c r="I568" s="7" t="s">
        <v>1438</v>
      </c>
    </row>
    <row r="569" spans="1:9" ht="114.75" x14ac:dyDescent="0.25">
      <c r="A569" s="33" t="s">
        <v>930</v>
      </c>
      <c r="B569" s="31" t="s">
        <v>929</v>
      </c>
      <c r="C569" s="31" t="s">
        <v>474</v>
      </c>
      <c r="D569" s="31" t="s">
        <v>1551</v>
      </c>
      <c r="E569" s="31">
        <v>29</v>
      </c>
      <c r="F569" s="31">
        <v>29</v>
      </c>
      <c r="G569" s="9">
        <v>0</v>
      </c>
      <c r="H569" s="7" t="s">
        <v>1303</v>
      </c>
      <c r="I569" s="7" t="s">
        <v>1438</v>
      </c>
    </row>
    <row r="570" spans="1:9" ht="191.25" x14ac:dyDescent="0.25">
      <c r="A570" s="33" t="s">
        <v>930</v>
      </c>
      <c r="B570" s="31" t="s">
        <v>929</v>
      </c>
      <c r="C570" s="31" t="s">
        <v>566</v>
      </c>
      <c r="D570" s="31" t="s">
        <v>1551</v>
      </c>
      <c r="E570" s="31">
        <v>6</v>
      </c>
      <c r="F570" s="31">
        <v>6</v>
      </c>
      <c r="G570" s="9">
        <v>0</v>
      </c>
      <c r="H570" s="7" t="s">
        <v>1298</v>
      </c>
      <c r="I570" s="7" t="s">
        <v>1438</v>
      </c>
    </row>
    <row r="571" spans="1:9" ht="127.5" x14ac:dyDescent="0.25">
      <c r="A571" s="33" t="s">
        <v>930</v>
      </c>
      <c r="B571" s="31" t="s">
        <v>929</v>
      </c>
      <c r="C571" s="31" t="s">
        <v>566</v>
      </c>
      <c r="D571" s="31" t="s">
        <v>1551</v>
      </c>
      <c r="E571" s="31">
        <v>27</v>
      </c>
      <c r="F571" s="31">
        <v>27</v>
      </c>
      <c r="G571" s="9">
        <v>0</v>
      </c>
      <c r="H571" s="7" t="s">
        <v>1294</v>
      </c>
      <c r="I571" s="7" t="s">
        <v>1438</v>
      </c>
    </row>
    <row r="572" spans="1:9" ht="114.75" x14ac:dyDescent="0.25">
      <c r="A572" s="33" t="s">
        <v>930</v>
      </c>
      <c r="B572" s="31" t="s">
        <v>929</v>
      </c>
      <c r="C572" s="31" t="s">
        <v>766</v>
      </c>
      <c r="D572" s="31" t="s">
        <v>1551</v>
      </c>
      <c r="E572" s="31">
        <v>22</v>
      </c>
      <c r="F572" s="31">
        <v>22</v>
      </c>
      <c r="G572" s="9">
        <v>0</v>
      </c>
      <c r="H572" s="7" t="s">
        <v>1290</v>
      </c>
      <c r="I572" s="7" t="s">
        <v>1438</v>
      </c>
    </row>
    <row r="573" spans="1:9" ht="127.5" x14ac:dyDescent="0.25">
      <c r="A573" s="33" t="s">
        <v>930</v>
      </c>
      <c r="B573" s="31" t="s">
        <v>929</v>
      </c>
      <c r="C573" s="31" t="s">
        <v>766</v>
      </c>
      <c r="D573" s="31" t="s">
        <v>1551</v>
      </c>
      <c r="E573" s="31">
        <v>23</v>
      </c>
      <c r="F573" s="31">
        <v>23</v>
      </c>
      <c r="G573" s="9">
        <v>0</v>
      </c>
      <c r="H573" s="7" t="s">
        <v>1289</v>
      </c>
      <c r="I573" s="7" t="s">
        <v>1438</v>
      </c>
    </row>
    <row r="574" spans="1:9" ht="140.25" x14ac:dyDescent="0.25">
      <c r="A574" s="33" t="s">
        <v>930</v>
      </c>
      <c r="B574" s="31" t="s">
        <v>929</v>
      </c>
      <c r="C574" s="31" t="s">
        <v>766</v>
      </c>
      <c r="D574" s="31" t="s">
        <v>1551</v>
      </c>
      <c r="E574" s="31">
        <v>33</v>
      </c>
      <c r="F574" s="31">
        <v>33</v>
      </c>
      <c r="G574" s="9">
        <v>0</v>
      </c>
      <c r="H574" s="7" t="s">
        <v>1287</v>
      </c>
      <c r="I574" s="7" t="s">
        <v>1438</v>
      </c>
    </row>
    <row r="575" spans="1:9" ht="25.5" x14ac:dyDescent="0.25">
      <c r="A575" s="33" t="s">
        <v>930</v>
      </c>
      <c r="B575" s="31" t="s">
        <v>929</v>
      </c>
      <c r="C575" s="31" t="s">
        <v>281</v>
      </c>
      <c r="D575" s="31" t="s">
        <v>1551</v>
      </c>
      <c r="E575" s="31">
        <v>9</v>
      </c>
      <c r="F575" s="31">
        <v>9</v>
      </c>
      <c r="G575" s="9">
        <v>0</v>
      </c>
      <c r="H575" s="7" t="s">
        <v>1282</v>
      </c>
      <c r="I575" s="7" t="s">
        <v>1438</v>
      </c>
    </row>
    <row r="576" spans="1:9" ht="344.25" x14ac:dyDescent="0.25">
      <c r="A576" s="33" t="s">
        <v>930</v>
      </c>
      <c r="B576" s="31" t="s">
        <v>929</v>
      </c>
      <c r="C576" s="31" t="s">
        <v>113</v>
      </c>
      <c r="D576" s="31" t="s">
        <v>1551</v>
      </c>
      <c r="E576" s="31">
        <v>18</v>
      </c>
      <c r="F576" s="31">
        <v>19</v>
      </c>
      <c r="G576" s="9">
        <v>0</v>
      </c>
      <c r="H576" s="7" t="s">
        <v>1272</v>
      </c>
      <c r="I576" s="7" t="s">
        <v>1438</v>
      </c>
    </row>
    <row r="577" spans="1:9" ht="280.5" x14ac:dyDescent="0.25">
      <c r="A577" s="33" t="s">
        <v>930</v>
      </c>
      <c r="B577" s="31" t="s">
        <v>929</v>
      </c>
      <c r="C577" s="31" t="s">
        <v>386</v>
      </c>
      <c r="D577" s="31" t="s">
        <v>1551</v>
      </c>
      <c r="E577" s="31">
        <v>14</v>
      </c>
      <c r="F577" s="31">
        <v>15</v>
      </c>
      <c r="G577" s="9">
        <v>0</v>
      </c>
      <c r="H577" s="7" t="s">
        <v>1265</v>
      </c>
      <c r="I577" s="7" t="s">
        <v>1438</v>
      </c>
    </row>
    <row r="578" spans="1:9" ht="293.25" x14ac:dyDescent="0.25">
      <c r="A578" s="33" t="s">
        <v>930</v>
      </c>
      <c r="B578" s="31" t="s">
        <v>929</v>
      </c>
      <c r="C578" s="31" t="s">
        <v>386</v>
      </c>
      <c r="D578" s="31" t="s">
        <v>1551</v>
      </c>
      <c r="E578" s="31">
        <v>26</v>
      </c>
      <c r="F578" s="31">
        <v>27</v>
      </c>
      <c r="G578" s="9">
        <v>0</v>
      </c>
      <c r="H578" s="7" t="s">
        <v>1261</v>
      </c>
      <c r="I578" s="7" t="s">
        <v>1438</v>
      </c>
    </row>
    <row r="579" spans="1:9" ht="318.75" x14ac:dyDescent="0.25">
      <c r="A579" s="33" t="s">
        <v>930</v>
      </c>
      <c r="B579" s="31" t="s">
        <v>929</v>
      </c>
      <c r="C579" s="31" t="s">
        <v>316</v>
      </c>
      <c r="D579" s="31" t="s">
        <v>1551</v>
      </c>
      <c r="E579" s="31">
        <v>8</v>
      </c>
      <c r="F579" s="31">
        <v>10</v>
      </c>
      <c r="G579" s="9">
        <v>0</v>
      </c>
      <c r="H579" s="7" t="s">
        <v>1252</v>
      </c>
      <c r="I579" s="7" t="s">
        <v>1438</v>
      </c>
    </row>
    <row r="580" spans="1:9" ht="267.75" x14ac:dyDescent="0.25">
      <c r="A580" s="33" t="s">
        <v>930</v>
      </c>
      <c r="B580" s="31" t="s">
        <v>929</v>
      </c>
      <c r="C580" s="31" t="s">
        <v>316</v>
      </c>
      <c r="D580" s="31" t="s">
        <v>1551</v>
      </c>
      <c r="E580" s="31">
        <v>12</v>
      </c>
      <c r="F580" s="31">
        <v>13</v>
      </c>
      <c r="G580" s="9">
        <v>0</v>
      </c>
      <c r="H580" s="7" t="s">
        <v>1251</v>
      </c>
      <c r="I580" s="7" t="s">
        <v>1438</v>
      </c>
    </row>
    <row r="581" spans="1:9" ht="140.25" x14ac:dyDescent="0.25">
      <c r="A581" s="33" t="s">
        <v>930</v>
      </c>
      <c r="B581" s="31" t="s">
        <v>929</v>
      </c>
      <c r="C581" s="31" t="s">
        <v>316</v>
      </c>
      <c r="D581" s="31" t="s">
        <v>1551</v>
      </c>
      <c r="E581" s="31">
        <v>17</v>
      </c>
      <c r="F581" s="31">
        <v>17</v>
      </c>
      <c r="G581" s="9">
        <v>0</v>
      </c>
      <c r="H581" s="7" t="s">
        <v>1249</v>
      </c>
      <c r="I581" s="7" t="s">
        <v>1438</v>
      </c>
    </row>
    <row r="582" spans="1:9" ht="204" x14ac:dyDescent="0.25">
      <c r="A582" s="33" t="s">
        <v>930</v>
      </c>
      <c r="B582" s="31" t="s">
        <v>929</v>
      </c>
      <c r="C582" s="31" t="s">
        <v>316</v>
      </c>
      <c r="D582" s="31" t="s">
        <v>1551</v>
      </c>
      <c r="E582" s="31">
        <v>25</v>
      </c>
      <c r="F582" s="31">
        <v>25</v>
      </c>
      <c r="G582" s="9">
        <v>0</v>
      </c>
      <c r="H582" s="7" t="s">
        <v>1248</v>
      </c>
      <c r="I582" s="7" t="s">
        <v>1438</v>
      </c>
    </row>
    <row r="583" spans="1:9" ht="63.75" x14ac:dyDescent="0.25">
      <c r="A583" s="33" t="s">
        <v>930</v>
      </c>
      <c r="B583" s="31" t="s">
        <v>929</v>
      </c>
      <c r="C583" s="31" t="s">
        <v>67</v>
      </c>
      <c r="D583" s="31" t="s">
        <v>1551</v>
      </c>
      <c r="E583" s="31">
        <v>11</v>
      </c>
      <c r="F583" s="31">
        <v>11</v>
      </c>
      <c r="G583" s="9">
        <v>0</v>
      </c>
      <c r="H583" s="7" t="s">
        <v>1245</v>
      </c>
      <c r="I583" s="7" t="s">
        <v>1438</v>
      </c>
    </row>
    <row r="584" spans="1:9" ht="76.5" x14ac:dyDescent="0.25">
      <c r="A584" s="33" t="s">
        <v>930</v>
      </c>
      <c r="B584" s="31" t="s">
        <v>929</v>
      </c>
      <c r="C584" s="31" t="s">
        <v>67</v>
      </c>
      <c r="D584" s="31" t="s">
        <v>1551</v>
      </c>
      <c r="E584" s="31">
        <v>18</v>
      </c>
      <c r="F584" s="31">
        <v>18</v>
      </c>
      <c r="G584" s="9">
        <v>0</v>
      </c>
      <c r="H584" s="7" t="s">
        <v>1241</v>
      </c>
      <c r="I584" s="7" t="s">
        <v>1438</v>
      </c>
    </row>
    <row r="585" spans="1:9" ht="25.5" x14ac:dyDescent="0.25">
      <c r="A585" s="33" t="s">
        <v>930</v>
      </c>
      <c r="B585" s="31" t="s">
        <v>929</v>
      </c>
      <c r="C585" s="31" t="s">
        <v>67</v>
      </c>
      <c r="D585" s="31" t="s">
        <v>1551</v>
      </c>
      <c r="E585" s="31">
        <v>20</v>
      </c>
      <c r="F585" s="31">
        <v>20</v>
      </c>
      <c r="G585" s="9">
        <v>0</v>
      </c>
      <c r="H585" s="7" t="s">
        <v>1240</v>
      </c>
      <c r="I585" s="7" t="s">
        <v>1438</v>
      </c>
    </row>
    <row r="586" spans="1:9" ht="63.75" x14ac:dyDescent="0.25">
      <c r="A586" s="33" t="s">
        <v>930</v>
      </c>
      <c r="B586" s="31" t="s">
        <v>929</v>
      </c>
      <c r="C586" s="31" t="s">
        <v>67</v>
      </c>
      <c r="D586" s="31" t="s">
        <v>1551</v>
      </c>
      <c r="E586" s="31">
        <v>28</v>
      </c>
      <c r="F586" s="31">
        <v>28</v>
      </c>
      <c r="G586" s="9">
        <v>0</v>
      </c>
      <c r="H586" s="7" t="s">
        <v>1235</v>
      </c>
      <c r="I586" s="7" t="s">
        <v>1438</v>
      </c>
    </row>
    <row r="587" spans="1:9" ht="63.75" x14ac:dyDescent="0.25">
      <c r="A587" s="33" t="s">
        <v>930</v>
      </c>
      <c r="B587" s="31" t="s">
        <v>929</v>
      </c>
      <c r="C587" s="31" t="s">
        <v>67</v>
      </c>
      <c r="D587" s="31" t="s">
        <v>1551</v>
      </c>
      <c r="E587" s="31">
        <v>31</v>
      </c>
      <c r="F587" s="31">
        <v>31</v>
      </c>
      <c r="G587" s="9">
        <v>0</v>
      </c>
      <c r="H587" s="7" t="s">
        <v>1233</v>
      </c>
      <c r="I587" s="7" t="s">
        <v>1438</v>
      </c>
    </row>
    <row r="588" spans="1:9" ht="114.75" x14ac:dyDescent="0.25">
      <c r="A588" s="33" t="s">
        <v>930</v>
      </c>
      <c r="B588" s="31" t="s">
        <v>929</v>
      </c>
      <c r="C588" s="31" t="s">
        <v>67</v>
      </c>
      <c r="D588" s="31" t="s">
        <v>1551</v>
      </c>
      <c r="E588" s="31">
        <v>38</v>
      </c>
      <c r="F588" s="31">
        <v>38</v>
      </c>
      <c r="G588" s="9">
        <v>0</v>
      </c>
      <c r="H588" s="7" t="s">
        <v>1230</v>
      </c>
      <c r="I588" s="7" t="s">
        <v>1438</v>
      </c>
    </row>
    <row r="589" spans="1:9" ht="140.25" x14ac:dyDescent="0.25">
      <c r="A589" s="33" t="s">
        <v>930</v>
      </c>
      <c r="B589" s="31" t="s">
        <v>929</v>
      </c>
      <c r="C589" s="31" t="s">
        <v>67</v>
      </c>
      <c r="D589" s="31" t="s">
        <v>1551</v>
      </c>
      <c r="E589" s="31">
        <v>39</v>
      </c>
      <c r="F589" s="31">
        <v>39</v>
      </c>
      <c r="G589" s="9">
        <v>0</v>
      </c>
      <c r="H589" s="7" t="s">
        <v>1229</v>
      </c>
      <c r="I589" s="7" t="s">
        <v>1438</v>
      </c>
    </row>
    <row r="590" spans="1:9" ht="140.25" x14ac:dyDescent="0.25">
      <c r="A590" s="33" t="s">
        <v>930</v>
      </c>
      <c r="B590" s="31" t="s">
        <v>929</v>
      </c>
      <c r="C590" s="31" t="s">
        <v>399</v>
      </c>
      <c r="D590" s="31" t="s">
        <v>1551</v>
      </c>
      <c r="E590" s="31">
        <v>19</v>
      </c>
      <c r="F590" s="31">
        <v>19</v>
      </c>
      <c r="G590" s="9">
        <v>0</v>
      </c>
      <c r="H590" s="7" t="s">
        <v>1218</v>
      </c>
      <c r="I590" s="7" t="s">
        <v>1438</v>
      </c>
    </row>
    <row r="591" spans="1:9" ht="102" x14ac:dyDescent="0.25">
      <c r="A591" s="33" t="s">
        <v>930</v>
      </c>
      <c r="B591" s="31" t="s">
        <v>929</v>
      </c>
      <c r="C591" s="31" t="s">
        <v>399</v>
      </c>
      <c r="D591" s="31" t="s">
        <v>1551</v>
      </c>
      <c r="E591" s="31">
        <v>26</v>
      </c>
      <c r="F591" s="31">
        <v>26</v>
      </c>
      <c r="G591" s="9">
        <v>0</v>
      </c>
      <c r="H591" s="7" t="s">
        <v>1215</v>
      </c>
      <c r="I591" s="7" t="s">
        <v>1438</v>
      </c>
    </row>
    <row r="592" spans="1:9" ht="114.75" x14ac:dyDescent="0.25">
      <c r="A592" s="33" t="s">
        <v>930</v>
      </c>
      <c r="B592" s="31" t="s">
        <v>929</v>
      </c>
      <c r="C592" s="31" t="s">
        <v>168</v>
      </c>
      <c r="D592" s="31" t="s">
        <v>1551</v>
      </c>
      <c r="E592" s="31">
        <v>8</v>
      </c>
      <c r="F592" s="31">
        <v>8</v>
      </c>
      <c r="G592" s="9">
        <v>0</v>
      </c>
      <c r="H592" s="7" t="s">
        <v>1211</v>
      </c>
      <c r="I592" s="7" t="s">
        <v>1438</v>
      </c>
    </row>
    <row r="593" spans="1:9" ht="255" x14ac:dyDescent="0.25">
      <c r="A593" s="33" t="s">
        <v>930</v>
      </c>
      <c r="B593" s="31" t="s">
        <v>929</v>
      </c>
      <c r="C593" s="31" t="s">
        <v>168</v>
      </c>
      <c r="D593" s="31" t="s">
        <v>1551</v>
      </c>
      <c r="E593" s="31">
        <v>25</v>
      </c>
      <c r="F593" s="31">
        <v>26</v>
      </c>
      <c r="G593" s="9">
        <v>0</v>
      </c>
      <c r="H593" s="7" t="s">
        <v>1209</v>
      </c>
      <c r="I593" s="7" t="s">
        <v>1438</v>
      </c>
    </row>
    <row r="594" spans="1:9" ht="153" x14ac:dyDescent="0.25">
      <c r="A594" s="33" t="s">
        <v>930</v>
      </c>
      <c r="B594" s="31" t="s">
        <v>929</v>
      </c>
      <c r="C594" s="31" t="s">
        <v>304</v>
      </c>
      <c r="D594" s="31" t="s">
        <v>1551</v>
      </c>
      <c r="E594" s="31">
        <v>12</v>
      </c>
      <c r="F594" s="31">
        <v>12</v>
      </c>
      <c r="G594" s="9">
        <v>0</v>
      </c>
      <c r="H594" s="7" t="s">
        <v>1207</v>
      </c>
      <c r="I594" s="7" t="s">
        <v>1438</v>
      </c>
    </row>
    <row r="595" spans="1:9" ht="204" x14ac:dyDescent="0.25">
      <c r="A595" s="33" t="s">
        <v>930</v>
      </c>
      <c r="B595" s="31" t="s">
        <v>929</v>
      </c>
      <c r="C595" s="31" t="s">
        <v>304</v>
      </c>
      <c r="D595" s="31" t="s">
        <v>1551</v>
      </c>
      <c r="E595" s="31">
        <v>21</v>
      </c>
      <c r="F595" s="31">
        <v>21</v>
      </c>
      <c r="G595" s="9">
        <v>0</v>
      </c>
      <c r="H595" s="7" t="s">
        <v>1206</v>
      </c>
      <c r="I595" s="7" t="s">
        <v>1438</v>
      </c>
    </row>
    <row r="596" spans="1:9" ht="102" x14ac:dyDescent="0.25">
      <c r="A596" s="33" t="s">
        <v>930</v>
      </c>
      <c r="B596" s="31" t="s">
        <v>929</v>
      </c>
      <c r="C596" s="31" t="s">
        <v>258</v>
      </c>
      <c r="D596" s="31" t="s">
        <v>1551</v>
      </c>
      <c r="E596" s="31">
        <v>19</v>
      </c>
      <c r="F596" s="31">
        <v>19</v>
      </c>
      <c r="G596" s="9">
        <v>0</v>
      </c>
      <c r="H596" s="7" t="s">
        <v>1203</v>
      </c>
      <c r="I596" s="7" t="s">
        <v>1438</v>
      </c>
    </row>
    <row r="597" spans="1:9" ht="127.5" x14ac:dyDescent="0.25">
      <c r="A597" s="33" t="s">
        <v>930</v>
      </c>
      <c r="B597" s="31" t="s">
        <v>929</v>
      </c>
      <c r="C597" s="31" t="s">
        <v>258</v>
      </c>
      <c r="D597" s="31" t="s">
        <v>1551</v>
      </c>
      <c r="E597" s="31">
        <v>30</v>
      </c>
      <c r="F597" s="31">
        <v>30</v>
      </c>
      <c r="G597" s="9">
        <v>0</v>
      </c>
      <c r="H597" s="7" t="s">
        <v>1200</v>
      </c>
      <c r="I597" s="7" t="s">
        <v>1438</v>
      </c>
    </row>
    <row r="598" spans="1:9" ht="204" x14ac:dyDescent="0.25">
      <c r="A598" s="33" t="s">
        <v>930</v>
      </c>
      <c r="B598" s="31" t="s">
        <v>929</v>
      </c>
      <c r="C598" s="31" t="s">
        <v>737</v>
      </c>
      <c r="D598" s="31" t="s">
        <v>1551</v>
      </c>
      <c r="E598" s="31">
        <v>16</v>
      </c>
      <c r="F598" s="31">
        <v>17</v>
      </c>
      <c r="G598" s="9">
        <v>0</v>
      </c>
      <c r="H598" s="7" t="s">
        <v>1195</v>
      </c>
      <c r="I598" s="7" t="s">
        <v>1438</v>
      </c>
    </row>
    <row r="599" spans="1:9" ht="242.25" x14ac:dyDescent="0.25">
      <c r="A599" s="33" t="s">
        <v>930</v>
      </c>
      <c r="B599" s="31" t="s">
        <v>929</v>
      </c>
      <c r="C599" s="31" t="s">
        <v>737</v>
      </c>
      <c r="D599" s="31" t="s">
        <v>1551</v>
      </c>
      <c r="E599" s="31">
        <v>27</v>
      </c>
      <c r="F599" s="31">
        <v>31</v>
      </c>
      <c r="G599" s="9">
        <v>0</v>
      </c>
      <c r="H599" s="7" t="s">
        <v>1191</v>
      </c>
      <c r="I599" s="7" t="s">
        <v>1438</v>
      </c>
    </row>
    <row r="600" spans="1:9" ht="165.75" x14ac:dyDescent="0.25">
      <c r="A600" s="33" t="s">
        <v>930</v>
      </c>
      <c r="B600" s="31" t="s">
        <v>929</v>
      </c>
      <c r="C600" s="31" t="s">
        <v>675</v>
      </c>
      <c r="D600" s="31" t="s">
        <v>1551</v>
      </c>
      <c r="E600" s="31">
        <v>32</v>
      </c>
      <c r="F600" s="31">
        <v>32</v>
      </c>
      <c r="G600" s="9">
        <v>0</v>
      </c>
      <c r="H600" s="7" t="s">
        <v>1177</v>
      </c>
      <c r="I600" s="7" t="s">
        <v>1438</v>
      </c>
    </row>
    <row r="601" spans="1:9" ht="102" x14ac:dyDescent="0.25">
      <c r="A601" s="33" t="s">
        <v>930</v>
      </c>
      <c r="B601" s="31" t="s">
        <v>929</v>
      </c>
      <c r="C601" s="31" t="s">
        <v>422</v>
      </c>
      <c r="D601" s="31" t="s">
        <v>1551</v>
      </c>
      <c r="E601" s="31">
        <v>23</v>
      </c>
      <c r="F601" s="31">
        <v>23</v>
      </c>
      <c r="G601" s="9">
        <v>0</v>
      </c>
      <c r="H601" s="7" t="s">
        <v>1174</v>
      </c>
      <c r="I601" s="7" t="s">
        <v>1438</v>
      </c>
    </row>
    <row r="602" spans="1:9" ht="127.5" x14ac:dyDescent="0.25">
      <c r="A602" s="33" t="s">
        <v>930</v>
      </c>
      <c r="B602" s="31" t="s">
        <v>929</v>
      </c>
      <c r="C602" s="31" t="s">
        <v>795</v>
      </c>
      <c r="D602" s="31" t="s">
        <v>1551</v>
      </c>
      <c r="E602" s="31">
        <v>7</v>
      </c>
      <c r="F602" s="31">
        <v>7</v>
      </c>
      <c r="G602" s="9">
        <v>0</v>
      </c>
      <c r="H602" s="7" t="s">
        <v>1172</v>
      </c>
      <c r="I602" s="7" t="s">
        <v>1438</v>
      </c>
    </row>
    <row r="603" spans="1:9" ht="191.25" x14ac:dyDescent="0.25">
      <c r="A603" s="33" t="s">
        <v>930</v>
      </c>
      <c r="B603" s="31" t="s">
        <v>929</v>
      </c>
      <c r="C603" s="31" t="s">
        <v>795</v>
      </c>
      <c r="D603" s="31" t="s">
        <v>1551</v>
      </c>
      <c r="E603" s="31">
        <v>22</v>
      </c>
      <c r="F603" s="31">
        <v>22</v>
      </c>
      <c r="G603" s="9">
        <v>0</v>
      </c>
      <c r="H603" s="7" t="s">
        <v>1169</v>
      </c>
      <c r="I603" s="7" t="s">
        <v>1438</v>
      </c>
    </row>
    <row r="604" spans="1:9" ht="191.25" x14ac:dyDescent="0.25">
      <c r="A604" s="33" t="s">
        <v>930</v>
      </c>
      <c r="B604" s="31" t="s">
        <v>929</v>
      </c>
      <c r="C604" s="31" t="s">
        <v>795</v>
      </c>
      <c r="D604" s="31" t="s">
        <v>1551</v>
      </c>
      <c r="E604" s="31">
        <v>24</v>
      </c>
      <c r="F604" s="31">
        <v>25</v>
      </c>
      <c r="G604" s="9">
        <v>0</v>
      </c>
      <c r="H604" s="7" t="s">
        <v>1168</v>
      </c>
      <c r="I604" s="7" t="s">
        <v>1438</v>
      </c>
    </row>
    <row r="605" spans="1:9" ht="357" x14ac:dyDescent="0.25">
      <c r="A605" s="33" t="s">
        <v>930</v>
      </c>
      <c r="B605" s="31" t="s">
        <v>929</v>
      </c>
      <c r="C605" s="31" t="s">
        <v>41</v>
      </c>
      <c r="D605" s="31" t="s">
        <v>1551</v>
      </c>
      <c r="E605" s="31">
        <v>21</v>
      </c>
      <c r="F605" s="31">
        <v>22</v>
      </c>
      <c r="G605" s="9">
        <v>0</v>
      </c>
      <c r="H605" s="7" t="s">
        <v>1162</v>
      </c>
      <c r="I605" s="7" t="s">
        <v>1438</v>
      </c>
    </row>
    <row r="606" spans="1:9" ht="267.75" x14ac:dyDescent="0.25">
      <c r="A606" s="33" t="s">
        <v>930</v>
      </c>
      <c r="B606" s="31" t="s">
        <v>929</v>
      </c>
      <c r="C606" s="31" t="s">
        <v>41</v>
      </c>
      <c r="D606" s="31" t="s">
        <v>1551</v>
      </c>
      <c r="E606" s="31">
        <v>32</v>
      </c>
      <c r="F606" s="31">
        <v>33</v>
      </c>
      <c r="G606" s="9">
        <v>0</v>
      </c>
      <c r="H606" s="7" t="s">
        <v>1159</v>
      </c>
      <c r="I606" s="7" t="s">
        <v>1438</v>
      </c>
    </row>
    <row r="607" spans="1:9" ht="102" x14ac:dyDescent="0.25">
      <c r="A607" s="33" t="s">
        <v>930</v>
      </c>
      <c r="B607" s="31" t="s">
        <v>929</v>
      </c>
      <c r="C607" s="31" t="s">
        <v>339</v>
      </c>
      <c r="D607" s="31" t="s">
        <v>1551</v>
      </c>
      <c r="E607" s="31">
        <v>16</v>
      </c>
      <c r="F607" s="31">
        <v>16</v>
      </c>
      <c r="G607" s="9">
        <v>0</v>
      </c>
      <c r="H607" s="7" t="s">
        <v>1155</v>
      </c>
      <c r="I607" s="7" t="s">
        <v>1438</v>
      </c>
    </row>
    <row r="608" spans="1:9" ht="140.25" x14ac:dyDescent="0.25">
      <c r="A608" s="33" t="s">
        <v>930</v>
      </c>
      <c r="B608" s="31" t="s">
        <v>929</v>
      </c>
      <c r="C608" s="31" t="s">
        <v>182</v>
      </c>
      <c r="D608" s="31" t="s">
        <v>1551</v>
      </c>
      <c r="E608" s="31">
        <v>6</v>
      </c>
      <c r="F608" s="31">
        <v>6</v>
      </c>
      <c r="G608" s="9">
        <v>0</v>
      </c>
      <c r="H608" s="7" t="s">
        <v>1153</v>
      </c>
      <c r="I608" s="7" t="s">
        <v>1438</v>
      </c>
    </row>
    <row r="609" spans="1:9" ht="153" x14ac:dyDescent="0.25">
      <c r="A609" s="33" t="s">
        <v>930</v>
      </c>
      <c r="B609" s="31" t="s">
        <v>929</v>
      </c>
      <c r="C609" s="31" t="s">
        <v>182</v>
      </c>
      <c r="D609" s="31" t="s">
        <v>1551</v>
      </c>
      <c r="E609" s="31">
        <v>7</v>
      </c>
      <c r="F609" s="31">
        <v>7</v>
      </c>
      <c r="G609" s="9">
        <v>0</v>
      </c>
      <c r="H609" s="7" t="s">
        <v>1152</v>
      </c>
      <c r="I609" s="7" t="s">
        <v>1438</v>
      </c>
    </row>
    <row r="610" spans="1:9" ht="89.25" x14ac:dyDescent="0.25">
      <c r="A610" s="33" t="s">
        <v>930</v>
      </c>
      <c r="B610" s="31" t="s">
        <v>929</v>
      </c>
      <c r="C610" s="31" t="s">
        <v>182</v>
      </c>
      <c r="D610" s="31" t="s">
        <v>1551</v>
      </c>
      <c r="E610" s="31">
        <v>17</v>
      </c>
      <c r="F610" s="31">
        <v>17</v>
      </c>
      <c r="G610" s="9">
        <v>0</v>
      </c>
      <c r="H610" s="7" t="s">
        <v>1151</v>
      </c>
      <c r="I610" s="7" t="s">
        <v>1438</v>
      </c>
    </row>
    <row r="611" spans="1:9" ht="63.75" x14ac:dyDescent="0.25">
      <c r="A611" s="33" t="s">
        <v>930</v>
      </c>
      <c r="B611" s="31" t="s">
        <v>929</v>
      </c>
      <c r="C611" s="31" t="s">
        <v>182</v>
      </c>
      <c r="D611" s="31" t="s">
        <v>1551</v>
      </c>
      <c r="E611" s="31">
        <v>17</v>
      </c>
      <c r="F611" s="31">
        <v>17</v>
      </c>
      <c r="G611" s="9">
        <v>0</v>
      </c>
      <c r="H611" s="7" t="s">
        <v>1150</v>
      </c>
      <c r="I611" s="7" t="s">
        <v>1438</v>
      </c>
    </row>
    <row r="612" spans="1:9" ht="191.25" x14ac:dyDescent="0.25">
      <c r="A612" s="33" t="s">
        <v>930</v>
      </c>
      <c r="B612" s="31" t="s">
        <v>929</v>
      </c>
      <c r="C612" s="31" t="s">
        <v>327</v>
      </c>
      <c r="D612" s="31" t="s">
        <v>1551</v>
      </c>
      <c r="E612" s="31">
        <v>15</v>
      </c>
      <c r="F612" s="31">
        <v>15</v>
      </c>
      <c r="G612" s="9">
        <v>0</v>
      </c>
      <c r="H612" s="7" t="s">
        <v>1146</v>
      </c>
      <c r="I612" s="7" t="s">
        <v>1438</v>
      </c>
    </row>
    <row r="613" spans="1:9" ht="165.75" x14ac:dyDescent="0.25">
      <c r="A613" s="33" t="s">
        <v>930</v>
      </c>
      <c r="B613" s="31" t="s">
        <v>929</v>
      </c>
      <c r="C613" s="31" t="s">
        <v>327</v>
      </c>
      <c r="D613" s="31" t="s">
        <v>1551</v>
      </c>
      <c r="E613" s="31">
        <v>16</v>
      </c>
      <c r="F613" s="31">
        <v>16</v>
      </c>
      <c r="G613" s="9">
        <v>0</v>
      </c>
      <c r="H613" s="7" t="s">
        <v>1145</v>
      </c>
      <c r="I613" s="7" t="s">
        <v>1438</v>
      </c>
    </row>
    <row r="614" spans="1:9" ht="357" x14ac:dyDescent="0.25">
      <c r="A614" s="33" t="s">
        <v>930</v>
      </c>
      <c r="B614" s="31" t="s">
        <v>929</v>
      </c>
      <c r="C614" s="31" t="s">
        <v>211</v>
      </c>
      <c r="D614" s="31" t="s">
        <v>1551</v>
      </c>
      <c r="E614" s="31">
        <v>11</v>
      </c>
      <c r="F614" s="31">
        <v>13</v>
      </c>
      <c r="G614" s="9">
        <v>0</v>
      </c>
      <c r="H614" s="7" t="s">
        <v>1128</v>
      </c>
      <c r="I614" s="7" t="s">
        <v>1438</v>
      </c>
    </row>
    <row r="615" spans="1:9" ht="293.25" x14ac:dyDescent="0.25">
      <c r="A615" s="33" t="s">
        <v>930</v>
      </c>
      <c r="B615" s="31" t="s">
        <v>929</v>
      </c>
      <c r="C615" s="31" t="s">
        <v>211</v>
      </c>
      <c r="D615" s="31" t="s">
        <v>1551</v>
      </c>
      <c r="E615" s="31">
        <v>17</v>
      </c>
      <c r="F615" s="31">
        <v>18</v>
      </c>
      <c r="G615" s="9">
        <v>0</v>
      </c>
      <c r="H615" s="7" t="s">
        <v>1126</v>
      </c>
      <c r="I615" s="7" t="s">
        <v>1438</v>
      </c>
    </row>
    <row r="616" spans="1:9" ht="114.75" x14ac:dyDescent="0.25">
      <c r="A616" s="33" t="s">
        <v>930</v>
      </c>
      <c r="B616" s="31" t="s">
        <v>929</v>
      </c>
      <c r="C616" s="31" t="s">
        <v>211</v>
      </c>
      <c r="D616" s="31" t="s">
        <v>1551</v>
      </c>
      <c r="E616" s="31">
        <v>39</v>
      </c>
      <c r="F616" s="31">
        <v>39</v>
      </c>
      <c r="G616" s="9">
        <v>0</v>
      </c>
      <c r="H616" s="7" t="s">
        <v>1122</v>
      </c>
      <c r="I616" s="7" t="s">
        <v>1438</v>
      </c>
    </row>
    <row r="617" spans="1:9" ht="178.5" x14ac:dyDescent="0.25">
      <c r="A617" s="33" t="s">
        <v>930</v>
      </c>
      <c r="B617" s="31" t="s">
        <v>929</v>
      </c>
      <c r="C617" s="31" t="s">
        <v>724</v>
      </c>
      <c r="D617" s="31" t="s">
        <v>1551</v>
      </c>
      <c r="E617" s="31">
        <v>17</v>
      </c>
      <c r="F617" s="31">
        <v>17</v>
      </c>
      <c r="G617" s="9">
        <v>0</v>
      </c>
      <c r="H617" s="7" t="s">
        <v>1119</v>
      </c>
      <c r="I617" s="7" t="s">
        <v>1438</v>
      </c>
    </row>
    <row r="618" spans="1:9" ht="306" x14ac:dyDescent="0.25">
      <c r="A618" s="33" t="s">
        <v>930</v>
      </c>
      <c r="B618" s="31" t="s">
        <v>929</v>
      </c>
      <c r="C618" s="31" t="s">
        <v>446</v>
      </c>
      <c r="D618" s="31" t="s">
        <v>1551</v>
      </c>
      <c r="E618" s="31">
        <v>4</v>
      </c>
      <c r="F618" s="31">
        <v>6</v>
      </c>
      <c r="G618" s="9">
        <v>0</v>
      </c>
      <c r="H618" s="7" t="s">
        <v>1118</v>
      </c>
      <c r="I618" s="7" t="s">
        <v>1438</v>
      </c>
    </row>
    <row r="619" spans="1:9" ht="165.75" x14ac:dyDescent="0.25">
      <c r="A619" s="33" t="s">
        <v>930</v>
      </c>
      <c r="B619" s="31" t="s">
        <v>929</v>
      </c>
      <c r="C619" s="31" t="s">
        <v>446</v>
      </c>
      <c r="D619" s="31" t="s">
        <v>1551</v>
      </c>
      <c r="E619" s="31">
        <v>12</v>
      </c>
      <c r="F619" s="31">
        <v>12</v>
      </c>
      <c r="G619" s="9">
        <v>0</v>
      </c>
      <c r="H619" s="7" t="s">
        <v>1116</v>
      </c>
      <c r="I619" s="7" t="s">
        <v>1438</v>
      </c>
    </row>
    <row r="620" spans="1:9" ht="395.25" x14ac:dyDescent="0.25">
      <c r="A620" s="33" t="s">
        <v>930</v>
      </c>
      <c r="B620" s="31" t="s">
        <v>929</v>
      </c>
      <c r="C620" s="31" t="s">
        <v>446</v>
      </c>
      <c r="D620" s="31" t="s">
        <v>1551</v>
      </c>
      <c r="E620" s="31">
        <v>17</v>
      </c>
      <c r="F620" s="31">
        <v>19</v>
      </c>
      <c r="G620" s="9">
        <v>0</v>
      </c>
      <c r="H620" s="7" t="s">
        <v>1113</v>
      </c>
      <c r="I620" s="7" t="s">
        <v>1438</v>
      </c>
    </row>
    <row r="621" spans="1:9" ht="127.5" x14ac:dyDescent="0.25">
      <c r="A621" s="33" t="s">
        <v>930</v>
      </c>
      <c r="B621" s="31" t="s">
        <v>929</v>
      </c>
      <c r="C621" s="31" t="s">
        <v>446</v>
      </c>
      <c r="D621" s="31" t="s">
        <v>1551</v>
      </c>
      <c r="E621" s="31">
        <v>25</v>
      </c>
      <c r="F621" s="31">
        <v>25</v>
      </c>
      <c r="G621" s="9">
        <v>0</v>
      </c>
      <c r="H621" s="7" t="s">
        <v>1111</v>
      </c>
      <c r="I621" s="7" t="s">
        <v>1438</v>
      </c>
    </row>
    <row r="622" spans="1:9" ht="293.25" x14ac:dyDescent="0.25">
      <c r="A622" s="33" t="s">
        <v>930</v>
      </c>
      <c r="B622" s="31" t="s">
        <v>929</v>
      </c>
      <c r="C622" s="31" t="s">
        <v>754</v>
      </c>
      <c r="D622" s="31" t="s">
        <v>1551</v>
      </c>
      <c r="E622" s="31">
        <v>15</v>
      </c>
      <c r="F622" s="31">
        <v>16</v>
      </c>
      <c r="G622" s="9">
        <v>0</v>
      </c>
      <c r="H622" s="7" t="s">
        <v>1107</v>
      </c>
      <c r="I622" s="7" t="s">
        <v>1438</v>
      </c>
    </row>
    <row r="623" spans="1:9" ht="204" x14ac:dyDescent="0.25">
      <c r="A623" s="33" t="s">
        <v>930</v>
      </c>
      <c r="B623" s="31" t="s">
        <v>929</v>
      </c>
      <c r="C623" s="31" t="s">
        <v>754</v>
      </c>
      <c r="D623" s="31" t="s">
        <v>1551</v>
      </c>
      <c r="E623" s="31">
        <v>31</v>
      </c>
      <c r="F623" s="31">
        <v>31</v>
      </c>
      <c r="G623" s="9">
        <v>0</v>
      </c>
      <c r="H623" s="7" t="s">
        <v>1103</v>
      </c>
      <c r="I623" s="7" t="s">
        <v>1438</v>
      </c>
    </row>
    <row r="624" spans="1:9" ht="191.25" x14ac:dyDescent="0.25">
      <c r="A624" s="33" t="s">
        <v>930</v>
      </c>
      <c r="B624" s="31" t="s">
        <v>929</v>
      </c>
      <c r="C624" s="31" t="s">
        <v>246</v>
      </c>
      <c r="D624" s="31" t="s">
        <v>1551</v>
      </c>
      <c r="E624" s="31">
        <v>22</v>
      </c>
      <c r="F624" s="31">
        <v>22</v>
      </c>
      <c r="G624" s="9">
        <v>0</v>
      </c>
      <c r="H624" s="7" t="s">
        <v>1098</v>
      </c>
      <c r="I624" s="7" t="s">
        <v>1438</v>
      </c>
    </row>
    <row r="625" spans="1:9" ht="114.75" x14ac:dyDescent="0.25">
      <c r="A625" s="33" t="s">
        <v>930</v>
      </c>
      <c r="B625" s="31" t="s">
        <v>929</v>
      </c>
      <c r="C625" s="31" t="s">
        <v>603</v>
      </c>
      <c r="D625" s="31" t="s">
        <v>1551</v>
      </c>
      <c r="E625" s="31">
        <v>11</v>
      </c>
      <c r="F625" s="31">
        <v>11</v>
      </c>
      <c r="G625" s="9">
        <v>0</v>
      </c>
      <c r="H625" s="7" t="s">
        <v>1090</v>
      </c>
      <c r="I625" s="7" t="s">
        <v>1438</v>
      </c>
    </row>
    <row r="626" spans="1:9" ht="140.25" x14ac:dyDescent="0.25">
      <c r="A626" s="33" t="s">
        <v>930</v>
      </c>
      <c r="B626" s="31" t="s">
        <v>929</v>
      </c>
      <c r="C626" s="31" t="s">
        <v>603</v>
      </c>
      <c r="D626" s="31" t="s">
        <v>1551</v>
      </c>
      <c r="E626" s="31">
        <v>29</v>
      </c>
      <c r="F626" s="31">
        <v>29</v>
      </c>
      <c r="G626" s="9">
        <v>0</v>
      </c>
      <c r="H626" s="7" t="s">
        <v>1086</v>
      </c>
      <c r="I626" s="7" t="s">
        <v>1438</v>
      </c>
    </row>
    <row r="627" spans="1:9" ht="204" x14ac:dyDescent="0.25">
      <c r="A627" s="33" t="s">
        <v>930</v>
      </c>
      <c r="B627" s="31" t="s">
        <v>929</v>
      </c>
      <c r="C627" s="31" t="s">
        <v>234</v>
      </c>
      <c r="D627" s="31" t="s">
        <v>1551</v>
      </c>
      <c r="E627" s="31">
        <v>24</v>
      </c>
      <c r="F627" s="31">
        <v>25</v>
      </c>
      <c r="G627" s="9">
        <v>0</v>
      </c>
      <c r="H627" s="7" t="s">
        <v>1079</v>
      </c>
      <c r="I627" s="7" t="s">
        <v>1438</v>
      </c>
    </row>
    <row r="628" spans="1:9" ht="102" x14ac:dyDescent="0.25">
      <c r="A628" s="33" t="s">
        <v>930</v>
      </c>
      <c r="B628" s="31" t="s">
        <v>929</v>
      </c>
      <c r="C628" s="31" t="s">
        <v>616</v>
      </c>
      <c r="D628" s="31" t="s">
        <v>1551</v>
      </c>
      <c r="E628" s="31">
        <v>21</v>
      </c>
      <c r="F628" s="31">
        <v>21</v>
      </c>
      <c r="G628" s="9">
        <v>0</v>
      </c>
      <c r="H628" s="7" t="s">
        <v>1072</v>
      </c>
      <c r="I628" s="7" t="s">
        <v>1438</v>
      </c>
    </row>
    <row r="629" spans="1:9" ht="255" x14ac:dyDescent="0.25">
      <c r="A629" s="33" t="s">
        <v>930</v>
      </c>
      <c r="B629" s="31" t="s">
        <v>929</v>
      </c>
      <c r="C629" s="31" t="s">
        <v>616</v>
      </c>
      <c r="D629" s="31" t="s">
        <v>1551</v>
      </c>
      <c r="E629" s="31">
        <v>32</v>
      </c>
      <c r="F629" s="31">
        <v>32</v>
      </c>
      <c r="G629" s="9">
        <v>0</v>
      </c>
      <c r="H629" s="7" t="s">
        <v>1067</v>
      </c>
      <c r="I629" s="7" t="s">
        <v>1438</v>
      </c>
    </row>
    <row r="630" spans="1:9" ht="38.25" x14ac:dyDescent="0.25">
      <c r="A630" s="33" t="s">
        <v>930</v>
      </c>
      <c r="B630" s="31" t="s">
        <v>929</v>
      </c>
      <c r="C630" s="31" t="s">
        <v>128</v>
      </c>
      <c r="D630" s="31" t="s">
        <v>1551</v>
      </c>
      <c r="E630" s="31">
        <v>38</v>
      </c>
      <c r="F630" s="31">
        <v>38</v>
      </c>
      <c r="G630" s="9">
        <v>0</v>
      </c>
      <c r="H630" s="7" t="s">
        <v>1060</v>
      </c>
      <c r="I630" s="7" t="s">
        <v>1438</v>
      </c>
    </row>
    <row r="631" spans="1:9" ht="127.5" x14ac:dyDescent="0.25">
      <c r="A631" s="33" t="s">
        <v>930</v>
      </c>
      <c r="B631" s="31" t="s">
        <v>929</v>
      </c>
      <c r="C631" s="31" t="s">
        <v>716</v>
      </c>
      <c r="D631" s="31" t="s">
        <v>1551</v>
      </c>
      <c r="E631" s="31">
        <v>7</v>
      </c>
      <c r="F631" s="31">
        <v>7</v>
      </c>
      <c r="G631" s="9">
        <v>0</v>
      </c>
      <c r="H631" s="7" t="s">
        <v>1057</v>
      </c>
      <c r="I631" s="7" t="s">
        <v>1438</v>
      </c>
    </row>
    <row r="632" spans="1:9" ht="267.75" x14ac:dyDescent="0.25">
      <c r="A632" s="33" t="s">
        <v>930</v>
      </c>
      <c r="B632" s="31" t="s">
        <v>929</v>
      </c>
      <c r="C632" s="31" t="s">
        <v>716</v>
      </c>
      <c r="D632" s="31" t="s">
        <v>1551</v>
      </c>
      <c r="E632" s="31">
        <v>24</v>
      </c>
      <c r="F632" s="31">
        <v>26</v>
      </c>
      <c r="G632" s="9">
        <v>0</v>
      </c>
      <c r="H632" s="7" t="s">
        <v>1050</v>
      </c>
      <c r="I632" s="7" t="s">
        <v>1438</v>
      </c>
    </row>
    <row r="633" spans="1:9" ht="331.5" x14ac:dyDescent="0.25">
      <c r="A633" s="33" t="s">
        <v>930</v>
      </c>
      <c r="B633" s="31" t="s">
        <v>929</v>
      </c>
      <c r="C633" s="31" t="s">
        <v>553</v>
      </c>
      <c r="D633" s="31" t="s">
        <v>1551</v>
      </c>
      <c r="E633" s="31">
        <v>5</v>
      </c>
      <c r="F633" s="31">
        <v>6</v>
      </c>
      <c r="G633" s="9">
        <v>0</v>
      </c>
      <c r="H633" s="7" t="s">
        <v>1041</v>
      </c>
      <c r="I633" s="7" t="s">
        <v>1438</v>
      </c>
    </row>
    <row r="634" spans="1:9" ht="102" x14ac:dyDescent="0.25">
      <c r="A634" s="33" t="s">
        <v>930</v>
      </c>
      <c r="B634" s="31" t="s">
        <v>929</v>
      </c>
      <c r="C634" s="31" t="s">
        <v>553</v>
      </c>
      <c r="D634" s="31" t="s">
        <v>1551</v>
      </c>
      <c r="E634" s="31">
        <v>14</v>
      </c>
      <c r="F634" s="31">
        <v>14</v>
      </c>
      <c r="G634" s="9">
        <v>0</v>
      </c>
      <c r="H634" s="7" t="s">
        <v>1039</v>
      </c>
      <c r="I634" s="7" t="s">
        <v>1438</v>
      </c>
    </row>
    <row r="635" spans="1:9" ht="127.5" x14ac:dyDescent="0.25">
      <c r="A635" s="33" t="s">
        <v>930</v>
      </c>
      <c r="B635" s="31" t="s">
        <v>929</v>
      </c>
      <c r="C635" s="31" t="s">
        <v>553</v>
      </c>
      <c r="D635" s="31" t="s">
        <v>1551</v>
      </c>
      <c r="E635" s="31">
        <v>17</v>
      </c>
      <c r="F635" s="31">
        <v>17</v>
      </c>
      <c r="G635" s="9">
        <v>0</v>
      </c>
      <c r="H635" s="7" t="s">
        <v>1038</v>
      </c>
      <c r="I635" s="7" t="s">
        <v>1438</v>
      </c>
    </row>
    <row r="636" spans="1:9" ht="306" x14ac:dyDescent="0.25">
      <c r="A636" s="33" t="s">
        <v>930</v>
      </c>
      <c r="B636" s="31" t="s">
        <v>929</v>
      </c>
      <c r="C636" s="31" t="s">
        <v>553</v>
      </c>
      <c r="D636" s="31" t="s">
        <v>1551</v>
      </c>
      <c r="E636" s="31">
        <v>22</v>
      </c>
      <c r="F636" s="31">
        <v>23</v>
      </c>
      <c r="G636" s="9">
        <v>0</v>
      </c>
      <c r="H636" s="7" t="s">
        <v>1037</v>
      </c>
      <c r="I636" s="7" t="s">
        <v>1438</v>
      </c>
    </row>
    <row r="637" spans="1:9" ht="127.5" x14ac:dyDescent="0.25">
      <c r="A637" s="33" t="s">
        <v>930</v>
      </c>
      <c r="B637" s="31" t="s">
        <v>929</v>
      </c>
      <c r="C637" s="31" t="s">
        <v>553</v>
      </c>
      <c r="D637" s="31" t="s">
        <v>1551</v>
      </c>
      <c r="E637" s="31">
        <v>27</v>
      </c>
      <c r="F637" s="31">
        <v>27</v>
      </c>
      <c r="G637" s="9">
        <v>0</v>
      </c>
      <c r="H637" s="7" t="s">
        <v>1036</v>
      </c>
      <c r="I637" s="7" t="s">
        <v>1438</v>
      </c>
    </row>
    <row r="638" spans="1:9" ht="153" x14ac:dyDescent="0.25">
      <c r="A638" s="33" t="s">
        <v>930</v>
      </c>
      <c r="B638" s="31" t="s">
        <v>929</v>
      </c>
      <c r="C638" s="31" t="s">
        <v>553</v>
      </c>
      <c r="D638" s="31" t="s">
        <v>1551</v>
      </c>
      <c r="E638" s="31">
        <v>31</v>
      </c>
      <c r="F638" s="31">
        <v>31</v>
      </c>
      <c r="G638" s="9">
        <v>0</v>
      </c>
      <c r="H638" s="7" t="s">
        <v>1035</v>
      </c>
      <c r="I638" s="7" t="s">
        <v>1438</v>
      </c>
    </row>
    <row r="639" spans="1:9" ht="102" x14ac:dyDescent="0.25">
      <c r="A639" s="33" t="s">
        <v>930</v>
      </c>
      <c r="B639" s="31" t="s">
        <v>929</v>
      </c>
      <c r="C639" s="31" t="s">
        <v>693</v>
      </c>
      <c r="D639" s="31" t="s">
        <v>1551</v>
      </c>
      <c r="E639" s="31">
        <v>34</v>
      </c>
      <c r="F639" s="31">
        <v>34</v>
      </c>
      <c r="G639" s="9">
        <v>0</v>
      </c>
      <c r="H639" s="7" t="s">
        <v>1028</v>
      </c>
      <c r="I639" s="7" t="s">
        <v>1438</v>
      </c>
    </row>
    <row r="640" spans="1:9" ht="102" x14ac:dyDescent="0.25">
      <c r="A640" s="33" t="s">
        <v>930</v>
      </c>
      <c r="B640" s="31" t="s">
        <v>929</v>
      </c>
      <c r="C640" s="31" t="s">
        <v>199</v>
      </c>
      <c r="D640" s="31" t="s">
        <v>1551</v>
      </c>
      <c r="E640" s="31">
        <v>16</v>
      </c>
      <c r="F640" s="31">
        <v>16</v>
      </c>
      <c r="G640" s="9">
        <v>0</v>
      </c>
      <c r="H640" s="7" t="s">
        <v>1022</v>
      </c>
      <c r="I640" s="7" t="s">
        <v>1438</v>
      </c>
    </row>
    <row r="641" spans="1:9" ht="153" x14ac:dyDescent="0.25">
      <c r="A641" s="33" t="s">
        <v>930</v>
      </c>
      <c r="B641" s="31" t="s">
        <v>929</v>
      </c>
      <c r="C641" s="31" t="s">
        <v>199</v>
      </c>
      <c r="D641" s="31" t="s">
        <v>1551</v>
      </c>
      <c r="E641" s="31">
        <v>35</v>
      </c>
      <c r="F641" s="31">
        <v>35</v>
      </c>
      <c r="G641" s="9">
        <v>0</v>
      </c>
      <c r="H641" s="7" t="s">
        <v>1016</v>
      </c>
      <c r="I641" s="7" t="s">
        <v>1438</v>
      </c>
    </row>
    <row r="642" spans="1:9" ht="127.5" x14ac:dyDescent="0.25">
      <c r="A642" s="33" t="s">
        <v>930</v>
      </c>
      <c r="B642" s="31" t="s">
        <v>929</v>
      </c>
      <c r="C642" s="31" t="s">
        <v>199</v>
      </c>
      <c r="D642" s="31" t="s">
        <v>1551</v>
      </c>
      <c r="E642" s="31">
        <v>36</v>
      </c>
      <c r="F642" s="31">
        <v>36</v>
      </c>
      <c r="G642" s="9">
        <v>0</v>
      </c>
      <c r="H642" s="7" t="s">
        <v>1015</v>
      </c>
      <c r="I642" s="7" t="s">
        <v>1438</v>
      </c>
    </row>
    <row r="643" spans="1:9" ht="255" x14ac:dyDescent="0.25">
      <c r="A643" s="33" t="s">
        <v>930</v>
      </c>
      <c r="B643" s="31" t="s">
        <v>929</v>
      </c>
      <c r="C643" s="31" t="s">
        <v>224</v>
      </c>
      <c r="D643" s="31" t="s">
        <v>1551</v>
      </c>
      <c r="E643" s="31">
        <v>5</v>
      </c>
      <c r="F643" s="31">
        <v>6</v>
      </c>
      <c r="G643" s="9">
        <v>0</v>
      </c>
      <c r="H643" s="7" t="s">
        <v>1014</v>
      </c>
      <c r="I643" s="7" t="s">
        <v>1438</v>
      </c>
    </row>
    <row r="644" spans="1:9" ht="127.5" x14ac:dyDescent="0.25">
      <c r="A644" s="33" t="s">
        <v>930</v>
      </c>
      <c r="B644" s="31" t="s">
        <v>929</v>
      </c>
      <c r="C644" s="31" t="s">
        <v>224</v>
      </c>
      <c r="D644" s="31" t="s">
        <v>1551</v>
      </c>
      <c r="E644" s="31">
        <v>8</v>
      </c>
      <c r="F644" s="31">
        <v>8</v>
      </c>
      <c r="G644" s="9">
        <v>0</v>
      </c>
      <c r="H644" s="7" t="s">
        <v>1666</v>
      </c>
      <c r="I644" s="7" t="s">
        <v>1438</v>
      </c>
    </row>
    <row r="645" spans="1:9" ht="127.5" x14ac:dyDescent="0.25">
      <c r="A645" s="33" t="s">
        <v>930</v>
      </c>
      <c r="B645" s="31" t="s">
        <v>929</v>
      </c>
      <c r="C645" s="31" t="s">
        <v>224</v>
      </c>
      <c r="D645" s="31" t="s">
        <v>1551</v>
      </c>
      <c r="E645" s="31">
        <v>13</v>
      </c>
      <c r="F645" s="31">
        <v>13</v>
      </c>
      <c r="G645" s="9">
        <v>0</v>
      </c>
      <c r="H645" s="7" t="s">
        <v>1011</v>
      </c>
      <c r="I645" s="7" t="s">
        <v>1438</v>
      </c>
    </row>
    <row r="646" spans="1:9" ht="102" x14ac:dyDescent="0.25">
      <c r="A646" s="33" t="s">
        <v>930</v>
      </c>
      <c r="B646" s="31" t="s">
        <v>929</v>
      </c>
      <c r="C646" s="31" t="s">
        <v>224</v>
      </c>
      <c r="D646" s="31" t="s">
        <v>1551</v>
      </c>
      <c r="E646" s="31">
        <v>14</v>
      </c>
      <c r="F646" s="31">
        <v>14</v>
      </c>
      <c r="G646" s="9">
        <v>0</v>
      </c>
      <c r="H646" s="7" t="s">
        <v>1010</v>
      </c>
      <c r="I646" s="7" t="s">
        <v>1438</v>
      </c>
    </row>
    <row r="647" spans="1:9" ht="102" x14ac:dyDescent="0.25">
      <c r="A647" s="33" t="s">
        <v>930</v>
      </c>
      <c r="B647" s="31" t="s">
        <v>929</v>
      </c>
      <c r="C647" s="31" t="s">
        <v>224</v>
      </c>
      <c r="D647" s="31" t="s">
        <v>1551</v>
      </c>
      <c r="E647" s="31">
        <v>15</v>
      </c>
      <c r="F647" s="31">
        <v>15</v>
      </c>
      <c r="G647" s="9">
        <v>0</v>
      </c>
      <c r="H647" s="7" t="s">
        <v>1009</v>
      </c>
      <c r="I647" s="7" t="s">
        <v>1438</v>
      </c>
    </row>
    <row r="648" spans="1:9" ht="114.75" x14ac:dyDescent="0.25">
      <c r="A648" s="33" t="s">
        <v>930</v>
      </c>
      <c r="B648" s="31" t="s">
        <v>929</v>
      </c>
      <c r="C648" s="31" t="s">
        <v>224</v>
      </c>
      <c r="D648" s="31" t="s">
        <v>1551</v>
      </c>
      <c r="E648" s="31">
        <v>19</v>
      </c>
      <c r="F648" s="31">
        <v>19</v>
      </c>
      <c r="G648" s="9">
        <v>0</v>
      </c>
      <c r="H648" s="7" t="s">
        <v>1007</v>
      </c>
      <c r="I648" s="7" t="s">
        <v>1438</v>
      </c>
    </row>
    <row r="649" spans="1:9" ht="127.5" x14ac:dyDescent="0.25">
      <c r="A649" s="33" t="s">
        <v>930</v>
      </c>
      <c r="B649" s="31" t="s">
        <v>929</v>
      </c>
      <c r="C649" s="31" t="s">
        <v>224</v>
      </c>
      <c r="D649" s="31" t="s">
        <v>1551</v>
      </c>
      <c r="E649" s="31">
        <v>21</v>
      </c>
      <c r="F649" s="31">
        <v>21</v>
      </c>
      <c r="G649" s="9">
        <v>0</v>
      </c>
      <c r="H649" s="7" t="s">
        <v>1005</v>
      </c>
      <c r="I649" s="7" t="s">
        <v>1438</v>
      </c>
    </row>
    <row r="650" spans="1:9" ht="229.5" x14ac:dyDescent="0.25">
      <c r="A650" s="33" t="s">
        <v>930</v>
      </c>
      <c r="B650" s="31" t="s">
        <v>929</v>
      </c>
      <c r="C650" s="31" t="s">
        <v>224</v>
      </c>
      <c r="D650" s="31" t="s">
        <v>1551</v>
      </c>
      <c r="E650" s="31">
        <v>22</v>
      </c>
      <c r="F650" s="31">
        <v>22</v>
      </c>
      <c r="G650" s="9">
        <v>0</v>
      </c>
      <c r="H650" s="7" t="s">
        <v>1004</v>
      </c>
      <c r="I650" s="7" t="s">
        <v>1438</v>
      </c>
    </row>
    <row r="651" spans="1:9" ht="140.25" x14ac:dyDescent="0.25">
      <c r="A651" s="33" t="s">
        <v>930</v>
      </c>
      <c r="B651" s="31" t="s">
        <v>929</v>
      </c>
      <c r="C651" s="31" t="s">
        <v>454</v>
      </c>
      <c r="D651" s="31" t="s">
        <v>1551</v>
      </c>
      <c r="E651" s="31">
        <v>5</v>
      </c>
      <c r="F651" s="31">
        <v>5</v>
      </c>
      <c r="G651" s="9">
        <v>0</v>
      </c>
      <c r="H651" s="7" t="s">
        <v>1002</v>
      </c>
      <c r="I651" s="7" t="s">
        <v>1438</v>
      </c>
    </row>
    <row r="652" spans="1:9" ht="89.25" x14ac:dyDescent="0.25">
      <c r="A652" s="33" t="s">
        <v>930</v>
      </c>
      <c r="B652" s="31" t="s">
        <v>929</v>
      </c>
      <c r="C652" s="31" t="s">
        <v>454</v>
      </c>
      <c r="D652" s="31" t="s">
        <v>1551</v>
      </c>
      <c r="E652" s="31">
        <v>6</v>
      </c>
      <c r="F652" s="31">
        <v>6</v>
      </c>
      <c r="G652" s="9">
        <v>0</v>
      </c>
      <c r="H652" s="7" t="s">
        <v>1001</v>
      </c>
      <c r="I652" s="7" t="s">
        <v>1438</v>
      </c>
    </row>
    <row r="653" spans="1:9" ht="140.25" x14ac:dyDescent="0.25">
      <c r="A653" s="33" t="s">
        <v>930</v>
      </c>
      <c r="B653" s="31" t="s">
        <v>929</v>
      </c>
      <c r="C653" s="31" t="s">
        <v>454</v>
      </c>
      <c r="D653" s="31" t="s">
        <v>1551</v>
      </c>
      <c r="E653" s="31">
        <v>15</v>
      </c>
      <c r="F653" s="31">
        <v>15</v>
      </c>
      <c r="G653" s="9">
        <v>0</v>
      </c>
      <c r="H653" s="7" t="s">
        <v>999</v>
      </c>
      <c r="I653" s="7" t="s">
        <v>1438</v>
      </c>
    </row>
    <row r="654" spans="1:9" ht="255" x14ac:dyDescent="0.25">
      <c r="A654" s="33" t="s">
        <v>930</v>
      </c>
      <c r="B654" s="31" t="s">
        <v>929</v>
      </c>
      <c r="C654" s="31" t="s">
        <v>454</v>
      </c>
      <c r="D654" s="31" t="s">
        <v>1551</v>
      </c>
      <c r="E654" s="31">
        <v>21</v>
      </c>
      <c r="F654" s="31">
        <v>23</v>
      </c>
      <c r="G654" s="9">
        <v>0</v>
      </c>
      <c r="H654" s="7" t="s">
        <v>998</v>
      </c>
      <c r="I654" s="7" t="s">
        <v>1438</v>
      </c>
    </row>
    <row r="655" spans="1:9" ht="306" x14ac:dyDescent="0.25">
      <c r="A655" s="33" t="s">
        <v>930</v>
      </c>
      <c r="B655" s="31" t="s">
        <v>929</v>
      </c>
      <c r="C655" s="31" t="s">
        <v>143</v>
      </c>
      <c r="D655" s="31" t="s">
        <v>1551</v>
      </c>
      <c r="E655" s="31">
        <v>4</v>
      </c>
      <c r="F655" s="31">
        <v>6</v>
      </c>
      <c r="G655" s="9">
        <v>0</v>
      </c>
      <c r="H655" s="7" t="s">
        <v>994</v>
      </c>
      <c r="I655" s="7" t="s">
        <v>1438</v>
      </c>
    </row>
    <row r="656" spans="1:9" ht="242.25" x14ac:dyDescent="0.25">
      <c r="A656" s="33" t="s">
        <v>930</v>
      </c>
      <c r="B656" s="31" t="s">
        <v>929</v>
      </c>
      <c r="C656" s="31" t="s">
        <v>143</v>
      </c>
      <c r="D656" s="31" t="s">
        <v>1551</v>
      </c>
      <c r="E656" s="31">
        <v>14</v>
      </c>
      <c r="F656" s="31">
        <v>15</v>
      </c>
      <c r="G656" s="9">
        <v>0</v>
      </c>
      <c r="H656" s="7" t="s">
        <v>993</v>
      </c>
      <c r="I656" s="7" t="s">
        <v>1438</v>
      </c>
    </row>
    <row r="657" spans="1:9" ht="165.75" x14ac:dyDescent="0.25">
      <c r="A657" s="33" t="s">
        <v>930</v>
      </c>
      <c r="B657" s="31" t="s">
        <v>929</v>
      </c>
      <c r="C657" s="31" t="s">
        <v>143</v>
      </c>
      <c r="D657" s="31" t="s">
        <v>1551</v>
      </c>
      <c r="E657" s="31">
        <v>18</v>
      </c>
      <c r="F657" s="31">
        <v>18</v>
      </c>
      <c r="G657" s="9">
        <v>0</v>
      </c>
      <c r="H657" s="7" t="s">
        <v>992</v>
      </c>
      <c r="I657" s="7" t="s">
        <v>1438</v>
      </c>
    </row>
    <row r="658" spans="1:9" ht="306" x14ac:dyDescent="0.25">
      <c r="A658" s="33" t="s">
        <v>930</v>
      </c>
      <c r="B658" s="31" t="s">
        <v>929</v>
      </c>
      <c r="C658" s="31" t="s">
        <v>143</v>
      </c>
      <c r="D658" s="31" t="s">
        <v>1551</v>
      </c>
      <c r="E658" s="31">
        <v>20</v>
      </c>
      <c r="F658" s="31">
        <v>22</v>
      </c>
      <c r="G658" s="9">
        <v>0</v>
      </c>
      <c r="H658" s="7" t="s">
        <v>991</v>
      </c>
      <c r="I658" s="7" t="s">
        <v>1438</v>
      </c>
    </row>
    <row r="659" spans="1:9" ht="280.5" x14ac:dyDescent="0.25">
      <c r="A659" s="33" t="s">
        <v>930</v>
      </c>
      <c r="B659" s="31" t="s">
        <v>929</v>
      </c>
      <c r="C659" s="31" t="s">
        <v>143</v>
      </c>
      <c r="D659" s="31" t="s">
        <v>1551</v>
      </c>
      <c r="E659" s="31">
        <v>24</v>
      </c>
      <c r="F659" s="31">
        <v>24</v>
      </c>
      <c r="G659" s="9">
        <v>0</v>
      </c>
      <c r="H659" s="7" t="s">
        <v>990</v>
      </c>
      <c r="I659" s="7" t="s">
        <v>1438</v>
      </c>
    </row>
    <row r="660" spans="1:9" ht="229.5" x14ac:dyDescent="0.25">
      <c r="A660" s="33" t="s">
        <v>930</v>
      </c>
      <c r="B660" s="31" t="s">
        <v>929</v>
      </c>
      <c r="C660" s="31" t="s">
        <v>143</v>
      </c>
      <c r="D660" s="31" t="s">
        <v>1551</v>
      </c>
      <c r="E660" s="31">
        <v>28</v>
      </c>
      <c r="F660" s="31">
        <v>28</v>
      </c>
      <c r="G660" s="9">
        <v>0</v>
      </c>
      <c r="H660" s="7" t="s">
        <v>989</v>
      </c>
      <c r="I660" s="7" t="s">
        <v>1438</v>
      </c>
    </row>
    <row r="661" spans="1:9" ht="242.25" x14ac:dyDescent="0.25">
      <c r="A661" s="33" t="s">
        <v>930</v>
      </c>
      <c r="B661" s="31" t="s">
        <v>929</v>
      </c>
      <c r="C661" s="31" t="s">
        <v>143</v>
      </c>
      <c r="D661" s="31" t="s">
        <v>1551</v>
      </c>
      <c r="E661" s="31">
        <v>32</v>
      </c>
      <c r="F661" s="31">
        <v>32</v>
      </c>
      <c r="G661" s="9">
        <v>0</v>
      </c>
      <c r="H661" s="7" t="s">
        <v>988</v>
      </c>
      <c r="I661" s="7" t="s">
        <v>1438</v>
      </c>
    </row>
    <row r="662" spans="1:9" ht="395.25" x14ac:dyDescent="0.25">
      <c r="A662" s="33" t="s">
        <v>930</v>
      </c>
      <c r="B662" s="31" t="s">
        <v>929</v>
      </c>
      <c r="C662" s="31" t="s">
        <v>664</v>
      </c>
      <c r="D662" s="31" t="s">
        <v>1551</v>
      </c>
      <c r="E662" s="31">
        <v>18</v>
      </c>
      <c r="F662" s="31">
        <v>21</v>
      </c>
      <c r="G662" s="9">
        <v>0</v>
      </c>
      <c r="H662" s="7" t="s">
        <v>985</v>
      </c>
      <c r="I662" s="7" t="s">
        <v>1438</v>
      </c>
    </row>
    <row r="663" spans="1:9" ht="242.25" x14ac:dyDescent="0.25">
      <c r="A663" s="33" t="s">
        <v>930</v>
      </c>
      <c r="B663" s="31" t="s">
        <v>929</v>
      </c>
      <c r="C663" s="31" t="s">
        <v>664</v>
      </c>
      <c r="D663" s="31" t="s">
        <v>1551</v>
      </c>
      <c r="E663" s="31">
        <v>25</v>
      </c>
      <c r="F663" s="31">
        <v>25</v>
      </c>
      <c r="G663" s="9">
        <v>0</v>
      </c>
      <c r="H663" s="7" t="s">
        <v>984</v>
      </c>
      <c r="I663" s="7" t="s">
        <v>1438</v>
      </c>
    </row>
    <row r="664" spans="1:9" ht="229.5" x14ac:dyDescent="0.25">
      <c r="A664" s="33" t="s">
        <v>930</v>
      </c>
      <c r="B664" s="31" t="s">
        <v>929</v>
      </c>
      <c r="C664" s="31" t="s">
        <v>664</v>
      </c>
      <c r="D664" s="31" t="s">
        <v>1551</v>
      </c>
      <c r="E664" s="31">
        <v>29</v>
      </c>
      <c r="F664" s="31">
        <v>29</v>
      </c>
      <c r="G664" s="9">
        <v>0</v>
      </c>
      <c r="H664" s="7" t="s">
        <v>983</v>
      </c>
      <c r="I664" s="7" t="s">
        <v>1438</v>
      </c>
    </row>
    <row r="665" spans="1:9" ht="114.75" x14ac:dyDescent="0.25">
      <c r="A665" s="33" t="s">
        <v>930</v>
      </c>
      <c r="B665" s="31" t="s">
        <v>929</v>
      </c>
      <c r="C665" s="31" t="s">
        <v>295</v>
      </c>
      <c r="D665" s="31" t="s">
        <v>1551</v>
      </c>
      <c r="E665" s="31">
        <v>9</v>
      </c>
      <c r="F665" s="31">
        <v>9</v>
      </c>
      <c r="G665" s="9">
        <v>0</v>
      </c>
      <c r="H665" s="7" t="s">
        <v>981</v>
      </c>
      <c r="I665" s="7" t="s">
        <v>1438</v>
      </c>
    </row>
    <row r="666" spans="1:9" ht="76.5" x14ac:dyDescent="0.25">
      <c r="A666" s="33" t="s">
        <v>930</v>
      </c>
      <c r="B666" s="31" t="s">
        <v>929</v>
      </c>
      <c r="C666" s="31" t="s">
        <v>574</v>
      </c>
      <c r="D666" s="31" t="s">
        <v>1551</v>
      </c>
      <c r="E666" s="31">
        <v>5</v>
      </c>
      <c r="F666" s="31">
        <v>5</v>
      </c>
      <c r="G666" s="9">
        <v>0</v>
      </c>
      <c r="H666" s="7" t="s">
        <v>975</v>
      </c>
      <c r="I666" s="7" t="s">
        <v>1438</v>
      </c>
    </row>
    <row r="667" spans="1:9" ht="408" x14ac:dyDescent="0.25">
      <c r="A667" s="33" t="s">
        <v>930</v>
      </c>
      <c r="B667" s="31" t="s">
        <v>929</v>
      </c>
      <c r="C667" s="31" t="s">
        <v>574</v>
      </c>
      <c r="D667" s="31" t="s">
        <v>1551</v>
      </c>
      <c r="E667" s="31">
        <v>8</v>
      </c>
      <c r="F667" s="31">
        <v>11</v>
      </c>
      <c r="G667" s="9">
        <v>0</v>
      </c>
      <c r="H667" s="7" t="s">
        <v>974</v>
      </c>
      <c r="I667" s="7" t="s">
        <v>1438</v>
      </c>
    </row>
    <row r="668" spans="1:9" ht="76.5" x14ac:dyDescent="0.25">
      <c r="A668" s="33" t="s">
        <v>930</v>
      </c>
      <c r="B668" s="31" t="s">
        <v>929</v>
      </c>
      <c r="C668" s="31" t="s">
        <v>574</v>
      </c>
      <c r="D668" s="31" t="s">
        <v>1551</v>
      </c>
      <c r="E668" s="31">
        <v>16</v>
      </c>
      <c r="F668" s="31">
        <v>16</v>
      </c>
      <c r="G668" s="9">
        <v>0</v>
      </c>
      <c r="H668" s="7" t="s">
        <v>973</v>
      </c>
      <c r="I668" s="7" t="s">
        <v>1438</v>
      </c>
    </row>
    <row r="669" spans="1:9" ht="127.5" x14ac:dyDescent="0.25">
      <c r="A669" s="33" t="s">
        <v>930</v>
      </c>
      <c r="B669" s="31" t="s">
        <v>929</v>
      </c>
      <c r="C669" s="31" t="s">
        <v>574</v>
      </c>
      <c r="D669" s="31" t="s">
        <v>1551</v>
      </c>
      <c r="E669" s="31">
        <v>19</v>
      </c>
      <c r="F669" s="31">
        <v>19</v>
      </c>
      <c r="G669" s="9">
        <v>0</v>
      </c>
      <c r="H669" s="7" t="s">
        <v>971</v>
      </c>
      <c r="I669" s="7" t="s">
        <v>1438</v>
      </c>
    </row>
    <row r="670" spans="1:9" ht="267.75" x14ac:dyDescent="0.25">
      <c r="A670" s="33" t="s">
        <v>930</v>
      </c>
      <c r="B670" s="31" t="s">
        <v>929</v>
      </c>
      <c r="C670" s="31" t="s">
        <v>574</v>
      </c>
      <c r="D670" s="31" t="s">
        <v>1551</v>
      </c>
      <c r="E670" s="31">
        <v>23</v>
      </c>
      <c r="F670" s="31">
        <v>24</v>
      </c>
      <c r="G670" s="9">
        <v>0</v>
      </c>
      <c r="H670" s="7" t="s">
        <v>970</v>
      </c>
      <c r="I670" s="7" t="s">
        <v>1438</v>
      </c>
    </row>
    <row r="671" spans="1:9" ht="306" x14ac:dyDescent="0.25">
      <c r="A671" s="33" t="s">
        <v>930</v>
      </c>
      <c r="B671" s="31" t="s">
        <v>929</v>
      </c>
      <c r="C671" s="31" t="s">
        <v>574</v>
      </c>
      <c r="D671" s="31" t="s">
        <v>1551</v>
      </c>
      <c r="E671" s="31">
        <v>26</v>
      </c>
      <c r="F671" s="31">
        <v>28</v>
      </c>
      <c r="G671" s="9">
        <v>0</v>
      </c>
      <c r="H671" s="7" t="s">
        <v>969</v>
      </c>
      <c r="I671" s="7" t="s">
        <v>1438</v>
      </c>
    </row>
    <row r="672" spans="1:9" ht="127.5" x14ac:dyDescent="0.25">
      <c r="A672" s="33" t="s">
        <v>930</v>
      </c>
      <c r="B672" s="31" t="s">
        <v>929</v>
      </c>
      <c r="C672" s="31" t="s">
        <v>465</v>
      </c>
      <c r="D672" s="31" t="s">
        <v>1551</v>
      </c>
      <c r="E672" s="31">
        <v>21</v>
      </c>
      <c r="F672" s="31">
        <v>21</v>
      </c>
      <c r="G672" s="9">
        <v>0</v>
      </c>
      <c r="H672" s="7" t="s">
        <v>966</v>
      </c>
      <c r="I672" s="7" t="s">
        <v>1438</v>
      </c>
    </row>
    <row r="673" spans="1:9" ht="102" x14ac:dyDescent="0.25">
      <c r="A673" s="33" t="s">
        <v>930</v>
      </c>
      <c r="B673" s="31" t="s">
        <v>929</v>
      </c>
      <c r="C673" s="31" t="s">
        <v>465</v>
      </c>
      <c r="D673" s="31" t="s">
        <v>1551</v>
      </c>
      <c r="E673" s="31">
        <v>28</v>
      </c>
      <c r="F673" s="31">
        <v>28</v>
      </c>
      <c r="G673" s="9">
        <v>0</v>
      </c>
      <c r="H673" s="7" t="s">
        <v>965</v>
      </c>
      <c r="I673" s="7" t="s">
        <v>1438</v>
      </c>
    </row>
    <row r="674" spans="1:9" ht="102" x14ac:dyDescent="0.25">
      <c r="A674" s="33" t="s">
        <v>930</v>
      </c>
      <c r="B674" s="31" t="s">
        <v>929</v>
      </c>
      <c r="C674" s="31" t="s">
        <v>465</v>
      </c>
      <c r="D674" s="31" t="s">
        <v>1551</v>
      </c>
      <c r="E674" s="31">
        <v>29</v>
      </c>
      <c r="F674" s="31">
        <v>29</v>
      </c>
      <c r="G674" s="9">
        <v>0</v>
      </c>
      <c r="H674" s="7" t="s">
        <v>964</v>
      </c>
      <c r="I674" s="7" t="s">
        <v>1438</v>
      </c>
    </row>
    <row r="675" spans="1:9" ht="153" x14ac:dyDescent="0.25">
      <c r="A675" s="33" t="s">
        <v>930</v>
      </c>
      <c r="B675" s="31" t="s">
        <v>929</v>
      </c>
      <c r="C675" s="31" t="s">
        <v>511</v>
      </c>
      <c r="D675" s="31" t="s">
        <v>1551</v>
      </c>
      <c r="E675" s="31">
        <v>14</v>
      </c>
      <c r="F675" s="31">
        <v>14</v>
      </c>
      <c r="G675" s="9">
        <v>0</v>
      </c>
      <c r="H675" s="7" t="s">
        <v>958</v>
      </c>
      <c r="I675" s="7" t="s">
        <v>1438</v>
      </c>
    </row>
    <row r="676" spans="1:9" ht="153" x14ac:dyDescent="0.25">
      <c r="A676" s="33" t="s">
        <v>930</v>
      </c>
      <c r="B676" s="31" t="s">
        <v>929</v>
      </c>
      <c r="C676" s="31" t="s">
        <v>511</v>
      </c>
      <c r="D676" s="31" t="s">
        <v>1551</v>
      </c>
      <c r="E676" s="31">
        <v>18</v>
      </c>
      <c r="F676" s="31">
        <v>18</v>
      </c>
      <c r="G676" s="9">
        <v>0</v>
      </c>
      <c r="H676" s="7" t="s">
        <v>957</v>
      </c>
      <c r="I676" s="7" t="s">
        <v>1438</v>
      </c>
    </row>
    <row r="677" spans="1:9" ht="178.5" x14ac:dyDescent="0.25">
      <c r="A677" s="33" t="s">
        <v>930</v>
      </c>
      <c r="B677" s="31" t="s">
        <v>929</v>
      </c>
      <c r="C677" s="31" t="s">
        <v>511</v>
      </c>
      <c r="D677" s="31" t="s">
        <v>1551</v>
      </c>
      <c r="E677" s="31">
        <v>22</v>
      </c>
      <c r="F677" s="31">
        <v>23</v>
      </c>
      <c r="G677" s="9">
        <v>0</v>
      </c>
      <c r="H677" s="7" t="s">
        <v>956</v>
      </c>
      <c r="I677" s="7" t="s">
        <v>1438</v>
      </c>
    </row>
    <row r="678" spans="1:9" ht="153" x14ac:dyDescent="0.25">
      <c r="A678" s="33" t="s">
        <v>930</v>
      </c>
      <c r="B678" s="31" t="s">
        <v>929</v>
      </c>
      <c r="C678" s="31" t="s">
        <v>543</v>
      </c>
      <c r="D678" s="31" t="s">
        <v>1551</v>
      </c>
      <c r="E678" s="31">
        <v>13</v>
      </c>
      <c r="F678" s="31">
        <v>13</v>
      </c>
      <c r="G678" s="9">
        <v>0</v>
      </c>
      <c r="H678" s="7" t="s">
        <v>954</v>
      </c>
      <c r="I678" s="7" t="s">
        <v>1438</v>
      </c>
    </row>
    <row r="679" spans="1:9" ht="216.75" x14ac:dyDescent="0.25">
      <c r="A679" s="33" t="s">
        <v>930</v>
      </c>
      <c r="B679" s="31" t="s">
        <v>929</v>
      </c>
      <c r="C679" s="31" t="s">
        <v>543</v>
      </c>
      <c r="D679" s="31" t="s">
        <v>1551</v>
      </c>
      <c r="E679" s="31">
        <v>21</v>
      </c>
      <c r="F679" s="31">
        <v>21</v>
      </c>
      <c r="G679" s="9">
        <v>0</v>
      </c>
      <c r="H679" s="7" t="s">
        <v>953</v>
      </c>
      <c r="I679" s="7" t="s">
        <v>1438</v>
      </c>
    </row>
    <row r="680" spans="1:9" ht="216.75" x14ac:dyDescent="0.25">
      <c r="A680" s="33" t="s">
        <v>930</v>
      </c>
      <c r="B680" s="31" t="s">
        <v>929</v>
      </c>
      <c r="C680" s="31" t="s">
        <v>543</v>
      </c>
      <c r="D680" s="31" t="s">
        <v>1551</v>
      </c>
      <c r="E680" s="31">
        <v>25</v>
      </c>
      <c r="F680" s="31">
        <v>26</v>
      </c>
      <c r="G680" s="9">
        <v>0</v>
      </c>
      <c r="H680" s="7" t="s">
        <v>951</v>
      </c>
      <c r="I680" s="7" t="s">
        <v>1438</v>
      </c>
    </row>
    <row r="681" spans="1:9" ht="293.25" x14ac:dyDescent="0.25">
      <c r="A681" s="33" t="s">
        <v>930</v>
      </c>
      <c r="B681" s="31" t="s">
        <v>929</v>
      </c>
      <c r="C681" s="31" t="s">
        <v>543</v>
      </c>
      <c r="D681" s="31" t="s">
        <v>1551</v>
      </c>
      <c r="E681" s="31">
        <v>29</v>
      </c>
      <c r="F681" s="31">
        <v>30</v>
      </c>
      <c r="G681" s="9">
        <v>0</v>
      </c>
      <c r="H681" s="7" t="s">
        <v>950</v>
      </c>
      <c r="I681" s="7" t="s">
        <v>1438</v>
      </c>
    </row>
    <row r="682" spans="1:9" ht="242.25" x14ac:dyDescent="0.25">
      <c r="A682" s="33" t="s">
        <v>930</v>
      </c>
      <c r="B682" s="31" t="s">
        <v>929</v>
      </c>
      <c r="C682" s="31" t="s">
        <v>543</v>
      </c>
      <c r="D682" s="31" t="s">
        <v>1551</v>
      </c>
      <c r="E682" s="31">
        <v>33</v>
      </c>
      <c r="F682" s="31">
        <v>34</v>
      </c>
      <c r="G682" s="9">
        <v>0</v>
      </c>
      <c r="H682" s="7" t="s">
        <v>949</v>
      </c>
      <c r="I682" s="7" t="s">
        <v>1438</v>
      </c>
    </row>
    <row r="683" spans="1:9" ht="191.25" x14ac:dyDescent="0.25">
      <c r="A683" s="33" t="s">
        <v>930</v>
      </c>
      <c r="B683" s="31" t="s">
        <v>929</v>
      </c>
      <c r="C683" s="31" t="s">
        <v>543</v>
      </c>
      <c r="D683" s="31" t="s">
        <v>1551</v>
      </c>
      <c r="E683" s="31">
        <v>42</v>
      </c>
      <c r="F683" s="31">
        <v>42</v>
      </c>
      <c r="G683" s="9">
        <v>0</v>
      </c>
      <c r="H683" s="7" t="s">
        <v>948</v>
      </c>
      <c r="I683" s="7" t="s">
        <v>1438</v>
      </c>
    </row>
    <row r="684" spans="1:9" ht="89.25" x14ac:dyDescent="0.25">
      <c r="A684" s="33" t="s">
        <v>930</v>
      </c>
      <c r="B684" s="31" t="s">
        <v>929</v>
      </c>
      <c r="C684" s="31" t="s">
        <v>374</v>
      </c>
      <c r="D684" s="31" t="s">
        <v>1551</v>
      </c>
      <c r="E684" s="31">
        <v>12</v>
      </c>
      <c r="F684" s="31">
        <v>12</v>
      </c>
      <c r="G684" s="9">
        <v>0</v>
      </c>
      <c r="H684" s="7" t="s">
        <v>945</v>
      </c>
      <c r="I684" s="7" t="s">
        <v>1438</v>
      </c>
    </row>
    <row r="685" spans="1:9" ht="127.5" x14ac:dyDescent="0.25">
      <c r="A685" s="33" t="s">
        <v>930</v>
      </c>
      <c r="B685" s="31" t="s">
        <v>929</v>
      </c>
      <c r="C685" s="31" t="s">
        <v>374</v>
      </c>
      <c r="D685" s="31" t="s">
        <v>1551</v>
      </c>
      <c r="E685" s="31">
        <v>15</v>
      </c>
      <c r="F685" s="31">
        <v>15</v>
      </c>
      <c r="G685" s="9">
        <v>0</v>
      </c>
      <c r="H685" s="7" t="s">
        <v>943</v>
      </c>
      <c r="I685" s="7" t="s">
        <v>1438</v>
      </c>
    </row>
    <row r="686" spans="1:9" ht="331.5" x14ac:dyDescent="0.25">
      <c r="A686" s="33" t="s">
        <v>930</v>
      </c>
      <c r="B686" s="31" t="s">
        <v>929</v>
      </c>
      <c r="C686" s="31" t="s">
        <v>374</v>
      </c>
      <c r="D686" s="31" t="s">
        <v>1551</v>
      </c>
      <c r="E686" s="31">
        <v>21</v>
      </c>
      <c r="F686" s="31">
        <v>24</v>
      </c>
      <c r="G686" s="9">
        <v>0</v>
      </c>
      <c r="H686" s="7" t="s">
        <v>941</v>
      </c>
      <c r="I686" s="7" t="s">
        <v>1438</v>
      </c>
    </row>
    <row r="687" spans="1:9" ht="229.5" x14ac:dyDescent="0.25">
      <c r="A687" s="33" t="s">
        <v>930</v>
      </c>
      <c r="B687" s="31" t="s">
        <v>929</v>
      </c>
      <c r="C687" s="31" t="s">
        <v>374</v>
      </c>
      <c r="D687" s="31" t="s">
        <v>1551</v>
      </c>
      <c r="E687" s="31">
        <v>35</v>
      </c>
      <c r="F687" s="31">
        <v>36</v>
      </c>
      <c r="G687" s="9">
        <v>0</v>
      </c>
      <c r="H687" s="7" t="s">
        <v>939</v>
      </c>
      <c r="I687" s="7" t="s">
        <v>1438</v>
      </c>
    </row>
    <row r="688" spans="1:9" ht="409.5" x14ac:dyDescent="0.25">
      <c r="A688" s="33" t="s">
        <v>930</v>
      </c>
      <c r="B688" s="31" t="s">
        <v>929</v>
      </c>
      <c r="C688" s="31" t="s">
        <v>654</v>
      </c>
      <c r="D688" s="31" t="s">
        <v>1551</v>
      </c>
      <c r="E688" s="31">
        <v>9</v>
      </c>
      <c r="F688" s="31">
        <v>12</v>
      </c>
      <c r="G688" s="9">
        <v>0</v>
      </c>
      <c r="H688" s="7" t="s">
        <v>936</v>
      </c>
      <c r="I688" s="7" t="s">
        <v>1438</v>
      </c>
    </row>
    <row r="689" spans="1:9" ht="102" x14ac:dyDescent="0.25">
      <c r="A689" s="33" t="s">
        <v>930</v>
      </c>
      <c r="B689" s="31" t="s">
        <v>929</v>
      </c>
      <c r="C689" s="31" t="s">
        <v>654</v>
      </c>
      <c r="D689" s="31" t="s">
        <v>1551</v>
      </c>
      <c r="E689" s="31">
        <v>27</v>
      </c>
      <c r="F689" s="31">
        <v>27</v>
      </c>
      <c r="G689" s="9">
        <v>0</v>
      </c>
      <c r="H689" s="7" t="s">
        <v>933</v>
      </c>
      <c r="I689" s="7" t="s">
        <v>1438</v>
      </c>
    </row>
    <row r="690" spans="1:9" ht="25.5" x14ac:dyDescent="0.25">
      <c r="A690" s="33" t="s">
        <v>930</v>
      </c>
      <c r="B690" s="31" t="s">
        <v>929</v>
      </c>
      <c r="C690" s="31" t="s">
        <v>918</v>
      </c>
      <c r="D690" s="31" t="s">
        <v>1552</v>
      </c>
      <c r="E690" s="31">
        <v>8</v>
      </c>
      <c r="F690" s="31">
        <v>8</v>
      </c>
      <c r="G690" s="9">
        <v>0</v>
      </c>
      <c r="H690" s="7" t="s">
        <v>1415</v>
      </c>
      <c r="I690" s="7" t="s">
        <v>1438</v>
      </c>
    </row>
    <row r="691" spans="1:9" ht="102" x14ac:dyDescent="0.25">
      <c r="A691" s="33" t="s">
        <v>930</v>
      </c>
      <c r="B691" s="31" t="s">
        <v>929</v>
      </c>
      <c r="C691" s="31" t="s">
        <v>918</v>
      </c>
      <c r="D691" s="31" t="s">
        <v>1552</v>
      </c>
      <c r="E691" s="31">
        <v>10</v>
      </c>
      <c r="F691" s="31">
        <v>10</v>
      </c>
      <c r="G691" s="9">
        <v>0</v>
      </c>
      <c r="H691" s="7" t="s">
        <v>1413</v>
      </c>
      <c r="I691" s="7" t="s">
        <v>1438</v>
      </c>
    </row>
    <row r="692" spans="1:9" ht="178.5" x14ac:dyDescent="0.25">
      <c r="A692" s="33" t="s">
        <v>930</v>
      </c>
      <c r="B692" s="31" t="s">
        <v>929</v>
      </c>
      <c r="C692" s="31" t="s">
        <v>918</v>
      </c>
      <c r="D692" s="31" t="s">
        <v>1552</v>
      </c>
      <c r="E692" s="31">
        <v>26</v>
      </c>
      <c r="F692" s="31">
        <v>26</v>
      </c>
      <c r="G692" s="9">
        <v>0</v>
      </c>
      <c r="H692" s="7" t="s">
        <v>1406</v>
      </c>
      <c r="I692" s="7" t="s">
        <v>1438</v>
      </c>
    </row>
    <row r="693" spans="1:9" ht="178.5" x14ac:dyDescent="0.25">
      <c r="A693" s="33" t="s">
        <v>930</v>
      </c>
      <c r="B693" s="31" t="s">
        <v>929</v>
      </c>
      <c r="C693" s="31" t="s">
        <v>918</v>
      </c>
      <c r="D693" s="31" t="s">
        <v>1552</v>
      </c>
      <c r="E693" s="31">
        <v>27</v>
      </c>
      <c r="F693" s="31">
        <v>27</v>
      </c>
      <c r="G693" s="9">
        <v>0</v>
      </c>
      <c r="H693" s="7" t="s">
        <v>1405</v>
      </c>
      <c r="I693" s="7" t="s">
        <v>1438</v>
      </c>
    </row>
    <row r="694" spans="1:9" ht="153" x14ac:dyDescent="0.25">
      <c r="A694" s="33" t="s">
        <v>930</v>
      </c>
      <c r="B694" s="31" t="s">
        <v>929</v>
      </c>
      <c r="C694" s="31" t="s">
        <v>97</v>
      </c>
      <c r="D694" s="31" t="s">
        <v>1552</v>
      </c>
      <c r="E694" s="31">
        <v>21</v>
      </c>
      <c r="F694" s="31">
        <v>21</v>
      </c>
      <c r="G694" s="9">
        <v>0</v>
      </c>
      <c r="H694" s="7" t="s">
        <v>1398</v>
      </c>
      <c r="I694" s="7" t="s">
        <v>1438</v>
      </c>
    </row>
    <row r="695" spans="1:9" ht="318.75" x14ac:dyDescent="0.25">
      <c r="A695" s="33" t="s">
        <v>930</v>
      </c>
      <c r="B695" s="31" t="s">
        <v>929</v>
      </c>
      <c r="C695" s="31" t="s">
        <v>97</v>
      </c>
      <c r="D695" s="31" t="s">
        <v>1552</v>
      </c>
      <c r="E695" s="31">
        <v>31</v>
      </c>
      <c r="F695" s="31">
        <v>35</v>
      </c>
      <c r="G695" s="9">
        <v>0</v>
      </c>
      <c r="H695" s="7" t="s">
        <v>1395</v>
      </c>
      <c r="I695" s="7" t="s">
        <v>1438</v>
      </c>
    </row>
    <row r="696" spans="1:9" ht="114.75" x14ac:dyDescent="0.25">
      <c r="A696" s="33" t="s">
        <v>930</v>
      </c>
      <c r="B696" s="31" t="s">
        <v>929</v>
      </c>
      <c r="C696" s="31" t="s">
        <v>97</v>
      </c>
      <c r="D696" s="31" t="s">
        <v>1552</v>
      </c>
      <c r="E696" s="31">
        <v>44</v>
      </c>
      <c r="F696" s="31">
        <v>44</v>
      </c>
      <c r="G696" s="9">
        <v>0</v>
      </c>
      <c r="H696" s="7" t="s">
        <v>1394</v>
      </c>
      <c r="I696" s="7" t="s">
        <v>1438</v>
      </c>
    </row>
    <row r="697" spans="1:9" ht="76.5" x14ac:dyDescent="0.25">
      <c r="A697" s="33" t="s">
        <v>930</v>
      </c>
      <c r="B697" s="31" t="s">
        <v>929</v>
      </c>
      <c r="C697" s="31" t="s">
        <v>1667</v>
      </c>
      <c r="D697" s="31" t="s">
        <v>1552</v>
      </c>
      <c r="E697" s="31">
        <v>44</v>
      </c>
      <c r="F697" s="31">
        <v>44</v>
      </c>
      <c r="G697" s="9">
        <v>0</v>
      </c>
      <c r="H697" s="7" t="s">
        <v>1378</v>
      </c>
      <c r="I697" s="7" t="s">
        <v>1438</v>
      </c>
    </row>
    <row r="698" spans="1:9" ht="63.75" x14ac:dyDescent="0.25">
      <c r="A698" s="33" t="s">
        <v>930</v>
      </c>
      <c r="B698" s="31" t="s">
        <v>929</v>
      </c>
      <c r="C698" s="31" t="s">
        <v>361</v>
      </c>
      <c r="D698" s="31" t="s">
        <v>1552</v>
      </c>
      <c r="E698" s="31">
        <v>14</v>
      </c>
      <c r="F698" s="31">
        <v>14</v>
      </c>
      <c r="G698" s="9">
        <v>0</v>
      </c>
      <c r="H698" s="7" t="s">
        <v>1366</v>
      </c>
      <c r="I698" s="7" t="s">
        <v>1438</v>
      </c>
    </row>
    <row r="699" spans="1:9" ht="63.75" x14ac:dyDescent="0.25">
      <c r="A699" s="33" t="s">
        <v>930</v>
      </c>
      <c r="B699" s="31" t="s">
        <v>929</v>
      </c>
      <c r="C699" s="31" t="s">
        <v>361</v>
      </c>
      <c r="D699" s="31" t="s">
        <v>1552</v>
      </c>
      <c r="E699" s="31">
        <v>15</v>
      </c>
      <c r="F699" s="31">
        <v>15</v>
      </c>
      <c r="G699" s="9">
        <v>0</v>
      </c>
      <c r="H699" s="7" t="s">
        <v>1365</v>
      </c>
      <c r="I699" s="7" t="s">
        <v>1438</v>
      </c>
    </row>
    <row r="700" spans="1:9" ht="293.25" x14ac:dyDescent="0.25">
      <c r="A700" s="33" t="s">
        <v>930</v>
      </c>
      <c r="B700" s="31" t="s">
        <v>929</v>
      </c>
      <c r="C700" s="31" t="s">
        <v>361</v>
      </c>
      <c r="D700" s="31" t="s">
        <v>1552</v>
      </c>
      <c r="E700" s="31">
        <v>23</v>
      </c>
      <c r="F700" s="31">
        <v>24</v>
      </c>
      <c r="G700" s="9">
        <v>0</v>
      </c>
      <c r="H700" s="7" t="s">
        <v>1360</v>
      </c>
      <c r="I700" s="7" t="s">
        <v>1438</v>
      </c>
    </row>
    <row r="701" spans="1:9" ht="89.25" x14ac:dyDescent="0.25">
      <c r="A701" s="33" t="s">
        <v>930</v>
      </c>
      <c r="B701" s="31" t="s">
        <v>929</v>
      </c>
      <c r="C701" s="31" t="s">
        <v>588</v>
      </c>
      <c r="D701" s="31" t="s">
        <v>1552</v>
      </c>
      <c r="E701" s="31">
        <v>15</v>
      </c>
      <c r="F701" s="31">
        <v>15</v>
      </c>
      <c r="G701" s="9">
        <v>0</v>
      </c>
      <c r="H701" s="7" t="s">
        <v>1356</v>
      </c>
      <c r="I701" s="7" t="s">
        <v>1438</v>
      </c>
    </row>
    <row r="702" spans="1:9" ht="216.75" x14ac:dyDescent="0.25">
      <c r="A702" s="33" t="s">
        <v>930</v>
      </c>
      <c r="B702" s="31" t="s">
        <v>929</v>
      </c>
      <c r="C702" s="31" t="s">
        <v>588</v>
      </c>
      <c r="D702" s="31" t="s">
        <v>1552</v>
      </c>
      <c r="E702" s="31">
        <v>33</v>
      </c>
      <c r="F702" s="31">
        <v>34</v>
      </c>
      <c r="G702" s="9">
        <v>0</v>
      </c>
      <c r="H702" s="7" t="s">
        <v>1352</v>
      </c>
      <c r="I702" s="7" t="s">
        <v>1438</v>
      </c>
    </row>
    <row r="703" spans="1:9" ht="127.5" x14ac:dyDescent="0.25">
      <c r="A703" s="33" t="s">
        <v>930</v>
      </c>
      <c r="B703" s="31" t="s">
        <v>929</v>
      </c>
      <c r="C703" s="31" t="s">
        <v>433</v>
      </c>
      <c r="D703" s="31" t="s">
        <v>1552</v>
      </c>
      <c r="E703" s="31">
        <v>9</v>
      </c>
      <c r="F703" s="31">
        <v>9</v>
      </c>
      <c r="G703" s="9">
        <v>0</v>
      </c>
      <c r="H703" s="7" t="s">
        <v>1348</v>
      </c>
      <c r="I703" s="7" t="s">
        <v>1438</v>
      </c>
    </row>
    <row r="704" spans="1:9" ht="140.25" x14ac:dyDescent="0.25">
      <c r="A704" s="33" t="s">
        <v>930</v>
      </c>
      <c r="B704" s="31" t="s">
        <v>929</v>
      </c>
      <c r="C704" s="31" t="s">
        <v>433</v>
      </c>
      <c r="D704" s="31" t="s">
        <v>1552</v>
      </c>
      <c r="E704" s="31">
        <v>32</v>
      </c>
      <c r="F704" s="31">
        <v>32</v>
      </c>
      <c r="G704" s="9">
        <v>0</v>
      </c>
      <c r="H704" s="7" t="s">
        <v>1346</v>
      </c>
      <c r="I704" s="7" t="s">
        <v>1438</v>
      </c>
    </row>
    <row r="705" spans="1:9" ht="102" x14ac:dyDescent="0.25">
      <c r="A705" s="33" t="s">
        <v>930</v>
      </c>
      <c r="B705" s="31" t="s">
        <v>929</v>
      </c>
      <c r="C705" s="31" t="s">
        <v>433</v>
      </c>
      <c r="D705" s="31" t="s">
        <v>1552</v>
      </c>
      <c r="E705" s="31">
        <v>36</v>
      </c>
      <c r="F705" s="31">
        <v>36</v>
      </c>
      <c r="G705" s="9">
        <v>0</v>
      </c>
      <c r="H705" s="7" t="s">
        <v>1344</v>
      </c>
      <c r="I705" s="7" t="s">
        <v>1438</v>
      </c>
    </row>
    <row r="706" spans="1:9" ht="102" x14ac:dyDescent="0.25">
      <c r="A706" s="33" t="s">
        <v>930</v>
      </c>
      <c r="B706" s="31" t="s">
        <v>929</v>
      </c>
      <c r="C706" s="31" t="s">
        <v>703</v>
      </c>
      <c r="D706" s="31" t="s">
        <v>1552</v>
      </c>
      <c r="E706" s="31">
        <v>12</v>
      </c>
      <c r="F706" s="31">
        <v>12</v>
      </c>
      <c r="G706" s="9">
        <v>0</v>
      </c>
      <c r="H706" s="7" t="s">
        <v>1341</v>
      </c>
      <c r="I706" s="7" t="s">
        <v>1438</v>
      </c>
    </row>
    <row r="707" spans="1:9" ht="140.25" x14ac:dyDescent="0.25">
      <c r="A707" s="33" t="s">
        <v>930</v>
      </c>
      <c r="B707" s="31" t="s">
        <v>929</v>
      </c>
      <c r="C707" s="31" t="s">
        <v>411</v>
      </c>
      <c r="D707" s="31" t="s">
        <v>1552</v>
      </c>
      <c r="E707" s="31">
        <v>3</v>
      </c>
      <c r="F707" s="31">
        <v>3</v>
      </c>
      <c r="G707" s="9">
        <v>0</v>
      </c>
      <c r="H707" s="7" t="s">
        <v>1337</v>
      </c>
      <c r="I707" s="7" t="s">
        <v>1438</v>
      </c>
    </row>
    <row r="708" spans="1:9" ht="89.25" x14ac:dyDescent="0.25">
      <c r="A708" s="33" t="s">
        <v>930</v>
      </c>
      <c r="B708" s="31" t="s">
        <v>929</v>
      </c>
      <c r="C708" s="31" t="s">
        <v>411</v>
      </c>
      <c r="D708" s="31" t="s">
        <v>1552</v>
      </c>
      <c r="E708" s="31">
        <v>5</v>
      </c>
      <c r="F708" s="31">
        <v>5</v>
      </c>
      <c r="G708" s="9">
        <v>0</v>
      </c>
      <c r="H708" s="7" t="s">
        <v>1332</v>
      </c>
      <c r="I708" s="7" t="s">
        <v>1438</v>
      </c>
    </row>
    <row r="709" spans="1:9" ht="114.75" x14ac:dyDescent="0.25">
      <c r="A709" s="33" t="s">
        <v>930</v>
      </c>
      <c r="B709" s="31" t="s">
        <v>929</v>
      </c>
      <c r="C709" s="31" t="s">
        <v>685</v>
      </c>
      <c r="D709" s="31" t="s">
        <v>1552</v>
      </c>
      <c r="E709" s="31">
        <v>13</v>
      </c>
      <c r="F709" s="31">
        <v>13</v>
      </c>
      <c r="G709" s="9">
        <v>0</v>
      </c>
      <c r="H709" s="7" t="s">
        <v>1328</v>
      </c>
      <c r="I709" s="7" t="s">
        <v>1438</v>
      </c>
    </row>
    <row r="710" spans="1:9" ht="242.25" x14ac:dyDescent="0.25">
      <c r="A710" s="33" t="s">
        <v>930</v>
      </c>
      <c r="B710" s="31" t="s">
        <v>929</v>
      </c>
      <c r="C710" s="31" t="s">
        <v>685</v>
      </c>
      <c r="D710" s="31" t="s">
        <v>1552</v>
      </c>
      <c r="E710" s="31">
        <v>17</v>
      </c>
      <c r="F710" s="31">
        <v>17</v>
      </c>
      <c r="G710" s="9">
        <v>0</v>
      </c>
      <c r="H710" s="7" t="s">
        <v>1327</v>
      </c>
      <c r="I710" s="7" t="s">
        <v>1438</v>
      </c>
    </row>
    <row r="711" spans="1:9" ht="191.25" x14ac:dyDescent="0.25">
      <c r="A711" s="33" t="s">
        <v>930</v>
      </c>
      <c r="B711" s="31" t="s">
        <v>929</v>
      </c>
      <c r="C711" s="31" t="s">
        <v>685</v>
      </c>
      <c r="D711" s="31" t="s">
        <v>1552</v>
      </c>
      <c r="E711" s="31">
        <v>18</v>
      </c>
      <c r="F711" s="31">
        <v>19</v>
      </c>
      <c r="G711" s="9">
        <v>0</v>
      </c>
      <c r="H711" s="7" t="s">
        <v>1326</v>
      </c>
      <c r="I711" s="7" t="s">
        <v>1438</v>
      </c>
    </row>
    <row r="712" spans="1:9" ht="216.75" x14ac:dyDescent="0.25">
      <c r="A712" s="33" t="s">
        <v>930</v>
      </c>
      <c r="B712" s="31" t="s">
        <v>929</v>
      </c>
      <c r="C712" s="31" t="s">
        <v>685</v>
      </c>
      <c r="D712" s="31" t="s">
        <v>1552</v>
      </c>
      <c r="E712" s="31">
        <v>24</v>
      </c>
      <c r="F712" s="31">
        <v>24</v>
      </c>
      <c r="G712" s="9">
        <v>0</v>
      </c>
      <c r="H712" s="7" t="s">
        <v>1324</v>
      </c>
      <c r="I712" s="7" t="s">
        <v>1438</v>
      </c>
    </row>
    <row r="713" spans="1:9" ht="140.25" x14ac:dyDescent="0.25">
      <c r="A713" s="33" t="s">
        <v>930</v>
      </c>
      <c r="B713" s="31" t="s">
        <v>929</v>
      </c>
      <c r="C713" s="31" t="s">
        <v>85</v>
      </c>
      <c r="D713" s="31" t="s">
        <v>1552</v>
      </c>
      <c r="E713" s="31">
        <v>16</v>
      </c>
      <c r="F713" s="31">
        <v>16</v>
      </c>
      <c r="G713" s="9">
        <v>0</v>
      </c>
      <c r="H713" s="7" t="s">
        <v>1321</v>
      </c>
      <c r="I713" s="7" t="s">
        <v>1438</v>
      </c>
    </row>
    <row r="714" spans="1:9" ht="229.5" x14ac:dyDescent="0.25">
      <c r="A714" s="33" t="s">
        <v>930</v>
      </c>
      <c r="B714" s="31" t="s">
        <v>929</v>
      </c>
      <c r="C714" s="31" t="s">
        <v>85</v>
      </c>
      <c r="D714" s="31" t="s">
        <v>1552</v>
      </c>
      <c r="E714" s="31">
        <v>23</v>
      </c>
      <c r="F714" s="31">
        <v>24</v>
      </c>
      <c r="G714" s="9">
        <v>0</v>
      </c>
      <c r="H714" s="7" t="s">
        <v>1318</v>
      </c>
      <c r="I714" s="7" t="s">
        <v>1438</v>
      </c>
    </row>
    <row r="715" spans="1:9" ht="63.75" x14ac:dyDescent="0.25">
      <c r="A715" s="33" t="s">
        <v>930</v>
      </c>
      <c r="B715" s="31" t="s">
        <v>929</v>
      </c>
      <c r="C715" s="31" t="s">
        <v>85</v>
      </c>
      <c r="D715" s="31" t="s">
        <v>1552</v>
      </c>
      <c r="E715" s="31">
        <v>25</v>
      </c>
      <c r="F715" s="31">
        <v>25</v>
      </c>
      <c r="G715" s="9">
        <v>0</v>
      </c>
      <c r="H715" s="7" t="s">
        <v>1316</v>
      </c>
      <c r="I715" s="7" t="s">
        <v>1438</v>
      </c>
    </row>
    <row r="716" spans="1:9" ht="25.5" x14ac:dyDescent="0.25">
      <c r="A716" s="33" t="s">
        <v>930</v>
      </c>
      <c r="B716" s="31" t="s">
        <v>929</v>
      </c>
      <c r="C716" s="31" t="s">
        <v>85</v>
      </c>
      <c r="D716" s="31" t="s">
        <v>1552</v>
      </c>
      <c r="E716" s="31">
        <v>27</v>
      </c>
      <c r="F716" s="31">
        <v>27</v>
      </c>
      <c r="G716" s="9">
        <v>0</v>
      </c>
      <c r="H716" s="7" t="s">
        <v>1314</v>
      </c>
      <c r="I716" s="7" t="s">
        <v>1438</v>
      </c>
    </row>
    <row r="717" spans="1:9" ht="63.75" x14ac:dyDescent="0.25">
      <c r="A717" s="33" t="s">
        <v>930</v>
      </c>
      <c r="B717" s="31" t="s">
        <v>929</v>
      </c>
      <c r="C717" s="31" t="s">
        <v>85</v>
      </c>
      <c r="D717" s="31" t="s">
        <v>1552</v>
      </c>
      <c r="E717" s="31">
        <v>29</v>
      </c>
      <c r="F717" s="31">
        <v>29</v>
      </c>
      <c r="G717" s="9">
        <v>0</v>
      </c>
      <c r="H717" s="7" t="s">
        <v>1313</v>
      </c>
      <c r="I717" s="7" t="s">
        <v>1438</v>
      </c>
    </row>
    <row r="718" spans="1:9" ht="242.25" x14ac:dyDescent="0.25">
      <c r="A718" s="33" t="s">
        <v>930</v>
      </c>
      <c r="B718" s="31" t="s">
        <v>929</v>
      </c>
      <c r="C718" s="31" t="s">
        <v>85</v>
      </c>
      <c r="D718" s="31" t="s">
        <v>1552</v>
      </c>
      <c r="E718" s="31">
        <v>30</v>
      </c>
      <c r="F718" s="31">
        <v>31</v>
      </c>
      <c r="G718" s="9">
        <v>0</v>
      </c>
      <c r="H718" s="7" t="s">
        <v>1312</v>
      </c>
      <c r="I718" s="7" t="s">
        <v>1438</v>
      </c>
    </row>
    <row r="719" spans="1:9" ht="51" x14ac:dyDescent="0.25">
      <c r="A719" s="33" t="s">
        <v>930</v>
      </c>
      <c r="B719" s="31" t="s">
        <v>929</v>
      </c>
      <c r="C719" s="31" t="s">
        <v>85</v>
      </c>
      <c r="D719" s="31" t="s">
        <v>1552</v>
      </c>
      <c r="E719" s="31">
        <v>35</v>
      </c>
      <c r="F719" s="31">
        <v>35</v>
      </c>
      <c r="G719" s="9">
        <v>0</v>
      </c>
      <c r="H719" s="7" t="s">
        <v>1310</v>
      </c>
      <c r="I719" s="7" t="s">
        <v>1438</v>
      </c>
    </row>
    <row r="720" spans="1:9" ht="114.75" x14ac:dyDescent="0.25">
      <c r="A720" s="33" t="s">
        <v>930</v>
      </c>
      <c r="B720" s="31" t="s">
        <v>929</v>
      </c>
      <c r="C720" s="31" t="s">
        <v>474</v>
      </c>
      <c r="D720" s="31" t="s">
        <v>1552</v>
      </c>
      <c r="E720" s="31">
        <v>22</v>
      </c>
      <c r="F720" s="31">
        <v>22</v>
      </c>
      <c r="G720" s="9">
        <v>0</v>
      </c>
      <c r="H720" s="7" t="s">
        <v>1305</v>
      </c>
      <c r="I720" s="7" t="s">
        <v>1438</v>
      </c>
    </row>
    <row r="721" spans="1:9" ht="267.75" x14ac:dyDescent="0.25">
      <c r="A721" s="33" t="s">
        <v>930</v>
      </c>
      <c r="B721" s="31" t="s">
        <v>929</v>
      </c>
      <c r="C721" s="31" t="s">
        <v>474</v>
      </c>
      <c r="D721" s="31" t="s">
        <v>1552</v>
      </c>
      <c r="E721" s="31">
        <v>32</v>
      </c>
      <c r="F721" s="31">
        <v>33</v>
      </c>
      <c r="G721" s="9">
        <v>0</v>
      </c>
      <c r="H721" s="7" t="s">
        <v>1301</v>
      </c>
      <c r="I721" s="7" t="s">
        <v>1438</v>
      </c>
    </row>
    <row r="722" spans="1:9" ht="114.75" x14ac:dyDescent="0.25">
      <c r="A722" s="33" t="s">
        <v>930</v>
      </c>
      <c r="B722" s="31" t="s">
        <v>929</v>
      </c>
      <c r="C722" s="31" t="s">
        <v>474</v>
      </c>
      <c r="D722" s="31" t="s">
        <v>1552</v>
      </c>
      <c r="E722" s="31">
        <v>38</v>
      </c>
      <c r="F722" s="31">
        <v>38</v>
      </c>
      <c r="G722" s="9">
        <v>0</v>
      </c>
      <c r="H722" s="7" t="s">
        <v>1300</v>
      </c>
      <c r="I722" s="7" t="s">
        <v>1438</v>
      </c>
    </row>
    <row r="723" spans="1:9" ht="191.25" x14ac:dyDescent="0.25">
      <c r="A723" s="33" t="s">
        <v>930</v>
      </c>
      <c r="B723" s="31" t="s">
        <v>929</v>
      </c>
      <c r="C723" s="31" t="s">
        <v>566</v>
      </c>
      <c r="D723" s="31" t="s">
        <v>1552</v>
      </c>
      <c r="E723" s="31">
        <v>6</v>
      </c>
      <c r="F723" s="31">
        <v>6</v>
      </c>
      <c r="G723" s="9">
        <v>0</v>
      </c>
      <c r="H723" s="7" t="s">
        <v>1298</v>
      </c>
      <c r="I723" s="7" t="s">
        <v>1438</v>
      </c>
    </row>
    <row r="724" spans="1:9" ht="140.25" x14ac:dyDescent="0.25">
      <c r="A724" s="33" t="s">
        <v>930</v>
      </c>
      <c r="B724" s="31" t="s">
        <v>929</v>
      </c>
      <c r="C724" s="31" t="s">
        <v>566</v>
      </c>
      <c r="D724" s="31" t="s">
        <v>1552</v>
      </c>
      <c r="E724" s="31">
        <v>13</v>
      </c>
      <c r="F724" s="31">
        <v>13</v>
      </c>
      <c r="G724" s="9">
        <v>0</v>
      </c>
      <c r="H724" s="7" t="s">
        <v>1297</v>
      </c>
      <c r="I724" s="7" t="s">
        <v>1438</v>
      </c>
    </row>
    <row r="725" spans="1:9" ht="89.25" x14ac:dyDescent="0.25">
      <c r="A725" s="33" t="s">
        <v>930</v>
      </c>
      <c r="B725" s="31" t="s">
        <v>929</v>
      </c>
      <c r="C725" s="31" t="s">
        <v>566</v>
      </c>
      <c r="D725" s="31" t="s">
        <v>1552</v>
      </c>
      <c r="E725" s="31">
        <v>16</v>
      </c>
      <c r="F725" s="31">
        <v>16</v>
      </c>
      <c r="G725" s="9">
        <v>0</v>
      </c>
      <c r="H725" s="7" t="s">
        <v>1296</v>
      </c>
      <c r="I725" s="7" t="s">
        <v>1438</v>
      </c>
    </row>
    <row r="726" spans="1:9" ht="127.5" x14ac:dyDescent="0.25">
      <c r="A726" s="33" t="s">
        <v>930</v>
      </c>
      <c r="B726" s="31" t="s">
        <v>929</v>
      </c>
      <c r="C726" s="31" t="s">
        <v>566</v>
      </c>
      <c r="D726" s="31" t="s">
        <v>1552</v>
      </c>
      <c r="E726" s="31">
        <v>27</v>
      </c>
      <c r="F726" s="31">
        <v>27</v>
      </c>
      <c r="G726" s="9">
        <v>0</v>
      </c>
      <c r="H726" s="7" t="s">
        <v>1294</v>
      </c>
      <c r="I726" s="7" t="s">
        <v>1438</v>
      </c>
    </row>
    <row r="727" spans="1:9" ht="165.75" x14ac:dyDescent="0.25">
      <c r="A727" s="33" t="s">
        <v>930</v>
      </c>
      <c r="B727" s="31" t="s">
        <v>929</v>
      </c>
      <c r="C727" s="31" t="s">
        <v>566</v>
      </c>
      <c r="D727" s="31" t="s">
        <v>1552</v>
      </c>
      <c r="E727" s="31">
        <v>32</v>
      </c>
      <c r="F727" s="31">
        <v>33</v>
      </c>
      <c r="G727" s="9">
        <v>0</v>
      </c>
      <c r="H727" s="7" t="s">
        <v>1293</v>
      </c>
      <c r="I727" s="7" t="s">
        <v>1438</v>
      </c>
    </row>
    <row r="728" spans="1:9" ht="38.25" x14ac:dyDescent="0.25">
      <c r="A728" s="33" t="s">
        <v>930</v>
      </c>
      <c r="B728" s="31" t="s">
        <v>929</v>
      </c>
      <c r="C728" s="31" t="s">
        <v>766</v>
      </c>
      <c r="D728" s="31" t="s">
        <v>1552</v>
      </c>
      <c r="E728" s="31">
        <v>29</v>
      </c>
      <c r="F728" s="31">
        <v>29</v>
      </c>
      <c r="G728" s="9">
        <v>0</v>
      </c>
      <c r="H728" s="7" t="s">
        <v>1288</v>
      </c>
      <c r="I728" s="7" t="s">
        <v>1438</v>
      </c>
    </row>
    <row r="729" spans="1:9" ht="140.25" x14ac:dyDescent="0.25">
      <c r="A729" s="33" t="s">
        <v>930</v>
      </c>
      <c r="B729" s="31" t="s">
        <v>929</v>
      </c>
      <c r="C729" s="31" t="s">
        <v>766</v>
      </c>
      <c r="D729" s="31" t="s">
        <v>1552</v>
      </c>
      <c r="E729" s="31">
        <v>33</v>
      </c>
      <c r="F729" s="31">
        <v>33</v>
      </c>
      <c r="G729" s="9">
        <v>0</v>
      </c>
      <c r="H729" s="7" t="s">
        <v>1287</v>
      </c>
      <c r="I729" s="7" t="s">
        <v>1438</v>
      </c>
    </row>
    <row r="730" spans="1:9" ht="267.75" x14ac:dyDescent="0.25">
      <c r="A730" s="33" t="s">
        <v>930</v>
      </c>
      <c r="B730" s="31" t="s">
        <v>929</v>
      </c>
      <c r="C730" s="31" t="s">
        <v>281</v>
      </c>
      <c r="D730" s="31" t="s">
        <v>1552</v>
      </c>
      <c r="E730" s="31">
        <v>21</v>
      </c>
      <c r="F730" s="31">
        <v>21</v>
      </c>
      <c r="G730" s="9">
        <v>0</v>
      </c>
      <c r="H730" s="7" t="s">
        <v>1279</v>
      </c>
      <c r="I730" s="7" t="s">
        <v>1438</v>
      </c>
    </row>
    <row r="731" spans="1:9" ht="76.5" x14ac:dyDescent="0.25">
      <c r="A731" s="33" t="s">
        <v>930</v>
      </c>
      <c r="B731" s="31" t="s">
        <v>929</v>
      </c>
      <c r="C731" s="31" t="s">
        <v>281</v>
      </c>
      <c r="D731" s="31" t="s">
        <v>1552</v>
      </c>
      <c r="E731" s="31">
        <v>23</v>
      </c>
      <c r="F731" s="31">
        <v>23</v>
      </c>
      <c r="G731" s="9">
        <v>0</v>
      </c>
      <c r="H731" s="7" t="s">
        <v>1278</v>
      </c>
      <c r="I731" s="7" t="s">
        <v>1438</v>
      </c>
    </row>
    <row r="732" spans="1:9" ht="76.5" x14ac:dyDescent="0.25">
      <c r="A732" s="33" t="s">
        <v>930</v>
      </c>
      <c r="B732" s="31" t="s">
        <v>929</v>
      </c>
      <c r="C732" s="31" t="s">
        <v>281</v>
      </c>
      <c r="D732" s="31" t="s">
        <v>1552</v>
      </c>
      <c r="E732" s="31">
        <v>25</v>
      </c>
      <c r="F732" s="31">
        <v>25</v>
      </c>
      <c r="G732" s="9">
        <v>0</v>
      </c>
      <c r="H732" s="7" t="s">
        <v>1277</v>
      </c>
      <c r="I732" s="7" t="s">
        <v>1438</v>
      </c>
    </row>
    <row r="733" spans="1:9" ht="267.75" x14ac:dyDescent="0.25">
      <c r="A733" s="33" t="s">
        <v>930</v>
      </c>
      <c r="B733" s="31" t="s">
        <v>929</v>
      </c>
      <c r="C733" s="31" t="s">
        <v>113</v>
      </c>
      <c r="D733" s="31" t="s">
        <v>1552</v>
      </c>
      <c r="E733" s="31">
        <v>28</v>
      </c>
      <c r="F733" s="31">
        <v>29</v>
      </c>
      <c r="G733" s="9">
        <v>0</v>
      </c>
      <c r="H733" s="7" t="s">
        <v>1269</v>
      </c>
      <c r="I733" s="7" t="s">
        <v>1438</v>
      </c>
    </row>
    <row r="734" spans="1:9" ht="280.5" x14ac:dyDescent="0.25">
      <c r="A734" s="33" t="s">
        <v>930</v>
      </c>
      <c r="B734" s="31" t="s">
        <v>929</v>
      </c>
      <c r="C734" s="31" t="s">
        <v>386</v>
      </c>
      <c r="D734" s="31" t="s">
        <v>1552</v>
      </c>
      <c r="E734" s="31">
        <v>9</v>
      </c>
      <c r="F734" s="31">
        <v>10</v>
      </c>
      <c r="G734" s="9">
        <v>0</v>
      </c>
      <c r="H734" s="7" t="s">
        <v>1268</v>
      </c>
      <c r="I734" s="7" t="s">
        <v>1438</v>
      </c>
    </row>
    <row r="735" spans="1:9" ht="127.5" x14ac:dyDescent="0.25">
      <c r="A735" s="33" t="s">
        <v>930</v>
      </c>
      <c r="B735" s="31" t="s">
        <v>929</v>
      </c>
      <c r="C735" s="31" t="s">
        <v>386</v>
      </c>
      <c r="D735" s="31" t="s">
        <v>1552</v>
      </c>
      <c r="E735" s="31">
        <v>11</v>
      </c>
      <c r="F735" s="31">
        <v>12</v>
      </c>
      <c r="G735" s="9">
        <v>0</v>
      </c>
      <c r="H735" s="7" t="s">
        <v>1267</v>
      </c>
      <c r="I735" s="7" t="s">
        <v>1438</v>
      </c>
    </row>
    <row r="736" spans="1:9" ht="153" x14ac:dyDescent="0.25">
      <c r="A736" s="33" t="s">
        <v>930</v>
      </c>
      <c r="B736" s="31" t="s">
        <v>929</v>
      </c>
      <c r="C736" s="31" t="s">
        <v>386</v>
      </c>
      <c r="D736" s="31" t="s">
        <v>1552</v>
      </c>
      <c r="E736" s="31">
        <v>14</v>
      </c>
      <c r="F736" s="31">
        <v>14</v>
      </c>
      <c r="G736" s="9">
        <v>0</v>
      </c>
      <c r="H736" s="7" t="s">
        <v>1266</v>
      </c>
      <c r="I736" s="7" t="s">
        <v>1438</v>
      </c>
    </row>
    <row r="737" spans="1:9" ht="165.75" x14ac:dyDescent="0.25">
      <c r="A737" s="33" t="s">
        <v>930</v>
      </c>
      <c r="B737" s="31" t="s">
        <v>929</v>
      </c>
      <c r="C737" s="31" t="s">
        <v>386</v>
      </c>
      <c r="D737" s="31" t="s">
        <v>1552</v>
      </c>
      <c r="E737" s="31">
        <v>17</v>
      </c>
      <c r="F737" s="31">
        <v>17</v>
      </c>
      <c r="G737" s="9">
        <v>0</v>
      </c>
      <c r="H737" s="7" t="s">
        <v>1264</v>
      </c>
      <c r="I737" s="7" t="s">
        <v>1438</v>
      </c>
    </row>
    <row r="738" spans="1:9" ht="331.5" x14ac:dyDescent="0.25">
      <c r="A738" s="33" t="s">
        <v>930</v>
      </c>
      <c r="B738" s="31" t="s">
        <v>929</v>
      </c>
      <c r="C738" s="31" t="s">
        <v>386</v>
      </c>
      <c r="D738" s="31" t="s">
        <v>1552</v>
      </c>
      <c r="E738" s="31">
        <v>19</v>
      </c>
      <c r="F738" s="31">
        <v>21</v>
      </c>
      <c r="G738" s="9">
        <v>0</v>
      </c>
      <c r="H738" s="7" t="s">
        <v>1262</v>
      </c>
      <c r="I738" s="7" t="s">
        <v>1438</v>
      </c>
    </row>
    <row r="739" spans="1:9" ht="293.25" x14ac:dyDescent="0.25">
      <c r="A739" s="33" t="s">
        <v>930</v>
      </c>
      <c r="B739" s="31" t="s">
        <v>929</v>
      </c>
      <c r="C739" s="31" t="s">
        <v>386</v>
      </c>
      <c r="D739" s="31" t="s">
        <v>1552</v>
      </c>
      <c r="E739" s="31">
        <v>26</v>
      </c>
      <c r="F739" s="31">
        <v>27</v>
      </c>
      <c r="G739" s="9">
        <v>0</v>
      </c>
      <c r="H739" s="7" t="s">
        <v>1261</v>
      </c>
      <c r="I739" s="7" t="s">
        <v>1438</v>
      </c>
    </row>
    <row r="740" spans="1:9" ht="229.5" x14ac:dyDescent="0.25">
      <c r="A740" s="33" t="s">
        <v>930</v>
      </c>
      <c r="B740" s="31" t="s">
        <v>929</v>
      </c>
      <c r="C740" s="31" t="s">
        <v>386</v>
      </c>
      <c r="D740" s="31" t="s">
        <v>1552</v>
      </c>
      <c r="E740" s="31">
        <v>28</v>
      </c>
      <c r="F740" s="31">
        <v>29</v>
      </c>
      <c r="G740" s="9">
        <v>0</v>
      </c>
      <c r="H740" s="7" t="s">
        <v>1260</v>
      </c>
      <c r="I740" s="7" t="s">
        <v>1438</v>
      </c>
    </row>
    <row r="741" spans="1:9" ht="280.5" x14ac:dyDescent="0.25">
      <c r="A741" s="33" t="s">
        <v>930</v>
      </c>
      <c r="B741" s="31" t="s">
        <v>929</v>
      </c>
      <c r="C741" s="31" t="s">
        <v>744</v>
      </c>
      <c r="D741" s="31" t="s">
        <v>1552</v>
      </c>
      <c r="E741" s="31">
        <v>13</v>
      </c>
      <c r="F741" s="31">
        <v>15</v>
      </c>
      <c r="G741" s="9">
        <v>0</v>
      </c>
      <c r="H741" s="7" t="s">
        <v>1257</v>
      </c>
      <c r="I741" s="7" t="s">
        <v>1438</v>
      </c>
    </row>
    <row r="742" spans="1:9" ht="140.25" x14ac:dyDescent="0.25">
      <c r="A742" s="33" t="s">
        <v>930</v>
      </c>
      <c r="B742" s="31" t="s">
        <v>929</v>
      </c>
      <c r="C742" s="31" t="s">
        <v>316</v>
      </c>
      <c r="D742" s="31" t="s">
        <v>1552</v>
      </c>
      <c r="E742" s="31">
        <v>17</v>
      </c>
      <c r="F742" s="31">
        <v>17</v>
      </c>
      <c r="G742" s="9">
        <v>0</v>
      </c>
      <c r="H742" s="7" t="s">
        <v>1249</v>
      </c>
      <c r="I742" s="7" t="s">
        <v>1438</v>
      </c>
    </row>
    <row r="743" spans="1:9" ht="204" x14ac:dyDescent="0.25">
      <c r="A743" s="33" t="s">
        <v>930</v>
      </c>
      <c r="B743" s="31" t="s">
        <v>929</v>
      </c>
      <c r="C743" s="31" t="s">
        <v>316</v>
      </c>
      <c r="D743" s="31" t="s">
        <v>1552</v>
      </c>
      <c r="E743" s="31">
        <v>25</v>
      </c>
      <c r="F743" s="31">
        <v>25</v>
      </c>
      <c r="G743" s="9">
        <v>0</v>
      </c>
      <c r="H743" s="7" t="s">
        <v>1248</v>
      </c>
      <c r="I743" s="7" t="s">
        <v>1438</v>
      </c>
    </row>
    <row r="744" spans="1:9" ht="63.75" x14ac:dyDescent="0.25">
      <c r="A744" s="33" t="s">
        <v>930</v>
      </c>
      <c r="B744" s="31" t="s">
        <v>929</v>
      </c>
      <c r="C744" s="31" t="s">
        <v>67</v>
      </c>
      <c r="D744" s="31" t="s">
        <v>1552</v>
      </c>
      <c r="E744" s="31">
        <v>11</v>
      </c>
      <c r="F744" s="31">
        <v>11</v>
      </c>
      <c r="G744" s="9">
        <v>0</v>
      </c>
      <c r="H744" s="7" t="s">
        <v>1245</v>
      </c>
      <c r="I744" s="7" t="s">
        <v>1438</v>
      </c>
    </row>
    <row r="745" spans="1:9" ht="38.25" x14ac:dyDescent="0.25">
      <c r="A745" s="33" t="s">
        <v>930</v>
      </c>
      <c r="B745" s="31" t="s">
        <v>929</v>
      </c>
      <c r="C745" s="31" t="s">
        <v>67</v>
      </c>
      <c r="D745" s="31" t="s">
        <v>1552</v>
      </c>
      <c r="E745" s="31">
        <v>23</v>
      </c>
      <c r="F745" s="31">
        <v>23</v>
      </c>
      <c r="G745" s="9">
        <v>0</v>
      </c>
      <c r="H745" s="7" t="s">
        <v>1237</v>
      </c>
      <c r="I745" s="7" t="s">
        <v>1438</v>
      </c>
    </row>
    <row r="746" spans="1:9" ht="63.75" x14ac:dyDescent="0.25">
      <c r="A746" s="33" t="s">
        <v>930</v>
      </c>
      <c r="B746" s="31" t="s">
        <v>929</v>
      </c>
      <c r="C746" s="31" t="s">
        <v>67</v>
      </c>
      <c r="D746" s="31" t="s">
        <v>1552</v>
      </c>
      <c r="E746" s="31">
        <v>30</v>
      </c>
      <c r="F746" s="31">
        <v>30</v>
      </c>
      <c r="G746" s="9">
        <v>0</v>
      </c>
      <c r="H746" s="7" t="s">
        <v>1234</v>
      </c>
      <c r="I746" s="7" t="s">
        <v>1438</v>
      </c>
    </row>
    <row r="747" spans="1:9" ht="140.25" x14ac:dyDescent="0.25">
      <c r="A747" s="33" t="s">
        <v>930</v>
      </c>
      <c r="B747" s="31" t="s">
        <v>929</v>
      </c>
      <c r="C747" s="31" t="s">
        <v>67</v>
      </c>
      <c r="D747" s="31" t="s">
        <v>1552</v>
      </c>
      <c r="E747" s="31">
        <v>42</v>
      </c>
      <c r="F747" s="31">
        <v>42</v>
      </c>
      <c r="G747" s="9">
        <v>0</v>
      </c>
      <c r="H747" s="7" t="s">
        <v>1227</v>
      </c>
      <c r="I747" s="7" t="s">
        <v>1438</v>
      </c>
    </row>
    <row r="748" spans="1:9" ht="127.5" x14ac:dyDescent="0.25">
      <c r="A748" s="33" t="s">
        <v>930</v>
      </c>
      <c r="B748" s="31" t="s">
        <v>929</v>
      </c>
      <c r="C748" s="31" t="s">
        <v>399</v>
      </c>
      <c r="D748" s="31" t="s">
        <v>1552</v>
      </c>
      <c r="E748" s="31">
        <v>18</v>
      </c>
      <c r="F748" s="31">
        <v>18</v>
      </c>
      <c r="G748" s="9">
        <v>0</v>
      </c>
      <c r="H748" s="7" t="s">
        <v>1219</v>
      </c>
      <c r="I748" s="7" t="s">
        <v>1438</v>
      </c>
    </row>
    <row r="749" spans="1:9" ht="102" x14ac:dyDescent="0.25">
      <c r="A749" s="33" t="s">
        <v>930</v>
      </c>
      <c r="B749" s="31" t="s">
        <v>929</v>
      </c>
      <c r="C749" s="31" t="s">
        <v>399</v>
      </c>
      <c r="D749" s="31" t="s">
        <v>1552</v>
      </c>
      <c r="E749" s="31">
        <v>27</v>
      </c>
      <c r="F749" s="31">
        <v>27</v>
      </c>
      <c r="G749" s="9">
        <v>0</v>
      </c>
      <c r="H749" s="7" t="s">
        <v>1214</v>
      </c>
      <c r="I749" s="7" t="s">
        <v>1438</v>
      </c>
    </row>
    <row r="750" spans="1:9" ht="102" x14ac:dyDescent="0.25">
      <c r="A750" s="33" t="s">
        <v>930</v>
      </c>
      <c r="B750" s="31" t="s">
        <v>929</v>
      </c>
      <c r="C750" s="31" t="s">
        <v>168</v>
      </c>
      <c r="D750" s="31" t="s">
        <v>1552</v>
      </c>
      <c r="E750" s="31">
        <v>40</v>
      </c>
      <c r="F750" s="31">
        <v>40</v>
      </c>
      <c r="G750" s="9">
        <v>0</v>
      </c>
      <c r="H750" s="7" t="s">
        <v>1208</v>
      </c>
      <c r="I750" s="7" t="s">
        <v>1438</v>
      </c>
    </row>
    <row r="751" spans="1:9" ht="76.5" x14ac:dyDescent="0.25">
      <c r="A751" s="33" t="s">
        <v>930</v>
      </c>
      <c r="B751" s="31" t="s">
        <v>929</v>
      </c>
      <c r="C751" s="31" t="s">
        <v>737</v>
      </c>
      <c r="D751" s="31" t="s">
        <v>1552</v>
      </c>
      <c r="E751" s="31">
        <v>12</v>
      </c>
      <c r="F751" s="31">
        <v>12</v>
      </c>
      <c r="G751" s="9">
        <v>0</v>
      </c>
      <c r="H751" s="7" t="s">
        <v>1196</v>
      </c>
      <c r="I751" s="7" t="s">
        <v>1438</v>
      </c>
    </row>
    <row r="752" spans="1:9" ht="102" x14ac:dyDescent="0.25">
      <c r="A752" s="33" t="s">
        <v>930</v>
      </c>
      <c r="B752" s="31" t="s">
        <v>929</v>
      </c>
      <c r="C752" s="31" t="s">
        <v>737</v>
      </c>
      <c r="D752" s="31" t="s">
        <v>1552</v>
      </c>
      <c r="E752" s="31">
        <v>18</v>
      </c>
      <c r="F752" s="31">
        <v>18</v>
      </c>
      <c r="G752" s="9">
        <v>0</v>
      </c>
      <c r="H752" s="7" t="s">
        <v>1194</v>
      </c>
      <c r="I752" s="7" t="s">
        <v>1438</v>
      </c>
    </row>
    <row r="753" spans="1:9" ht="255" x14ac:dyDescent="0.25">
      <c r="A753" s="33" t="s">
        <v>930</v>
      </c>
      <c r="B753" s="31" t="s">
        <v>929</v>
      </c>
      <c r="C753" s="31" t="s">
        <v>737</v>
      </c>
      <c r="D753" s="31" t="s">
        <v>1552</v>
      </c>
      <c r="E753" s="31">
        <v>25</v>
      </c>
      <c r="F753" s="31">
        <v>25</v>
      </c>
      <c r="G753" s="9">
        <v>0</v>
      </c>
      <c r="H753" s="7" t="s">
        <v>1192</v>
      </c>
      <c r="I753" s="7" t="s">
        <v>1438</v>
      </c>
    </row>
    <row r="754" spans="1:9" ht="409.5" x14ac:dyDescent="0.25">
      <c r="A754" s="33" t="s">
        <v>930</v>
      </c>
      <c r="B754" s="31" t="s">
        <v>929</v>
      </c>
      <c r="C754" s="31" t="s">
        <v>532</v>
      </c>
      <c r="D754" s="31" t="s">
        <v>1552</v>
      </c>
      <c r="E754" s="31">
        <v>8</v>
      </c>
      <c r="F754" s="31">
        <v>12</v>
      </c>
      <c r="G754" s="9">
        <v>0</v>
      </c>
      <c r="H754" s="7" t="s">
        <v>1187</v>
      </c>
      <c r="I754" s="7" t="s">
        <v>1438</v>
      </c>
    </row>
    <row r="755" spans="1:9" ht="114.75" x14ac:dyDescent="0.25">
      <c r="A755" s="33" t="s">
        <v>930</v>
      </c>
      <c r="B755" s="31" t="s">
        <v>929</v>
      </c>
      <c r="C755" s="31" t="s">
        <v>532</v>
      </c>
      <c r="D755" s="31" t="s">
        <v>1552</v>
      </c>
      <c r="E755" s="31">
        <v>26</v>
      </c>
      <c r="F755" s="31">
        <v>26</v>
      </c>
      <c r="G755" s="9">
        <v>0</v>
      </c>
      <c r="H755" s="7" t="s">
        <v>1183</v>
      </c>
      <c r="I755" s="7" t="s">
        <v>1438</v>
      </c>
    </row>
    <row r="756" spans="1:9" ht="255" x14ac:dyDescent="0.25">
      <c r="A756" s="33" t="s">
        <v>930</v>
      </c>
      <c r="B756" s="31" t="s">
        <v>929</v>
      </c>
      <c r="C756" s="31" t="s">
        <v>675</v>
      </c>
      <c r="D756" s="31" t="s">
        <v>1552</v>
      </c>
      <c r="E756" s="31">
        <v>19</v>
      </c>
      <c r="F756" s="31">
        <v>21</v>
      </c>
      <c r="G756" s="9">
        <v>0</v>
      </c>
      <c r="H756" s="7" t="s">
        <v>1180</v>
      </c>
      <c r="I756" s="7" t="s">
        <v>1438</v>
      </c>
    </row>
    <row r="757" spans="1:9" ht="204" x14ac:dyDescent="0.25">
      <c r="A757" s="33" t="s">
        <v>930</v>
      </c>
      <c r="B757" s="31" t="s">
        <v>929</v>
      </c>
      <c r="C757" s="31" t="s">
        <v>675</v>
      </c>
      <c r="D757" s="31" t="s">
        <v>1552</v>
      </c>
      <c r="E757" s="31">
        <v>23</v>
      </c>
      <c r="F757" s="31">
        <v>25</v>
      </c>
      <c r="G757" s="9">
        <v>0</v>
      </c>
      <c r="H757" s="7" t="s">
        <v>1179</v>
      </c>
      <c r="I757" s="7" t="s">
        <v>1438</v>
      </c>
    </row>
    <row r="758" spans="1:9" ht="165.75" x14ac:dyDescent="0.25">
      <c r="A758" s="33" t="s">
        <v>930</v>
      </c>
      <c r="B758" s="31" t="s">
        <v>929</v>
      </c>
      <c r="C758" s="31" t="s">
        <v>675</v>
      </c>
      <c r="D758" s="31" t="s">
        <v>1552</v>
      </c>
      <c r="E758" s="31">
        <v>32</v>
      </c>
      <c r="F758" s="31">
        <v>32</v>
      </c>
      <c r="G758" s="9">
        <v>0</v>
      </c>
      <c r="H758" s="7" t="s">
        <v>1177</v>
      </c>
      <c r="I758" s="7" t="s">
        <v>1438</v>
      </c>
    </row>
    <row r="759" spans="1:9" ht="178.5" x14ac:dyDescent="0.25">
      <c r="A759" s="33" t="s">
        <v>930</v>
      </c>
      <c r="B759" s="31" t="s">
        <v>929</v>
      </c>
      <c r="C759" s="31" t="s">
        <v>675</v>
      </c>
      <c r="D759" s="31" t="s">
        <v>1552</v>
      </c>
      <c r="E759" s="31">
        <v>35</v>
      </c>
      <c r="F759" s="31">
        <v>35</v>
      </c>
      <c r="G759" s="9">
        <v>0</v>
      </c>
      <c r="H759" s="7" t="s">
        <v>1176</v>
      </c>
      <c r="I759" s="7" t="s">
        <v>1438</v>
      </c>
    </row>
    <row r="760" spans="1:9" ht="191.25" x14ac:dyDescent="0.25">
      <c r="A760" s="33" t="s">
        <v>930</v>
      </c>
      <c r="B760" s="31" t="s">
        <v>929</v>
      </c>
      <c r="C760" s="31" t="s">
        <v>795</v>
      </c>
      <c r="D760" s="31" t="s">
        <v>1552</v>
      </c>
      <c r="E760" s="31">
        <v>22</v>
      </c>
      <c r="F760" s="31">
        <v>22</v>
      </c>
      <c r="G760" s="9">
        <v>0</v>
      </c>
      <c r="H760" s="7" t="s">
        <v>1169</v>
      </c>
      <c r="I760" s="7" t="s">
        <v>1438</v>
      </c>
    </row>
    <row r="761" spans="1:9" ht="76.5" x14ac:dyDescent="0.25">
      <c r="A761" s="33" t="s">
        <v>930</v>
      </c>
      <c r="B761" s="31" t="s">
        <v>929</v>
      </c>
      <c r="C761" s="31" t="s">
        <v>41</v>
      </c>
      <c r="D761" s="31" t="s">
        <v>1552</v>
      </c>
      <c r="E761" s="31">
        <v>15</v>
      </c>
      <c r="F761" s="31">
        <v>15</v>
      </c>
      <c r="G761" s="9">
        <v>0</v>
      </c>
      <c r="H761" s="7" t="s">
        <v>1163</v>
      </c>
      <c r="I761" s="7" t="s">
        <v>1438</v>
      </c>
    </row>
    <row r="762" spans="1:9" ht="357" x14ac:dyDescent="0.25">
      <c r="A762" s="33" t="s">
        <v>930</v>
      </c>
      <c r="B762" s="31" t="s">
        <v>929</v>
      </c>
      <c r="C762" s="31" t="s">
        <v>41</v>
      </c>
      <c r="D762" s="31" t="s">
        <v>1552</v>
      </c>
      <c r="E762" s="31">
        <v>21</v>
      </c>
      <c r="F762" s="31">
        <v>22</v>
      </c>
      <c r="G762" s="9">
        <v>0</v>
      </c>
      <c r="H762" s="7" t="s">
        <v>1162</v>
      </c>
      <c r="I762" s="7" t="s">
        <v>1438</v>
      </c>
    </row>
    <row r="763" spans="1:9" ht="242.25" x14ac:dyDescent="0.25">
      <c r="A763" s="33" t="s">
        <v>930</v>
      </c>
      <c r="B763" s="31" t="s">
        <v>929</v>
      </c>
      <c r="C763" s="31" t="s">
        <v>41</v>
      </c>
      <c r="D763" s="31" t="s">
        <v>1552</v>
      </c>
      <c r="E763" s="31">
        <v>23</v>
      </c>
      <c r="F763" s="31">
        <v>24</v>
      </c>
      <c r="G763" s="9">
        <v>0</v>
      </c>
      <c r="H763" s="7" t="s">
        <v>1161</v>
      </c>
      <c r="I763" s="7" t="s">
        <v>1438</v>
      </c>
    </row>
    <row r="764" spans="1:9" ht="357" x14ac:dyDescent="0.25">
      <c r="A764" s="33" t="s">
        <v>930</v>
      </c>
      <c r="B764" s="31" t="s">
        <v>929</v>
      </c>
      <c r="C764" s="31" t="s">
        <v>41</v>
      </c>
      <c r="D764" s="31" t="s">
        <v>1552</v>
      </c>
      <c r="E764" s="31">
        <v>25</v>
      </c>
      <c r="F764" s="31">
        <v>29</v>
      </c>
      <c r="G764" s="9">
        <v>0</v>
      </c>
      <c r="H764" s="7" t="s">
        <v>1160</v>
      </c>
      <c r="I764" s="7" t="s">
        <v>1438</v>
      </c>
    </row>
    <row r="765" spans="1:9" ht="76.5" x14ac:dyDescent="0.25">
      <c r="A765" s="33" t="s">
        <v>930</v>
      </c>
      <c r="B765" s="31" t="s">
        <v>929</v>
      </c>
      <c r="C765" s="31" t="s">
        <v>57</v>
      </c>
      <c r="D765" s="31" t="s">
        <v>1552</v>
      </c>
      <c r="E765" s="31">
        <v>5</v>
      </c>
      <c r="F765" s="31">
        <v>5</v>
      </c>
      <c r="G765" s="9">
        <v>0</v>
      </c>
      <c r="H765" s="7" t="s">
        <v>1143</v>
      </c>
      <c r="I765" s="7" t="s">
        <v>1438</v>
      </c>
    </row>
    <row r="766" spans="1:9" ht="102" x14ac:dyDescent="0.25">
      <c r="A766" s="33" t="s">
        <v>930</v>
      </c>
      <c r="B766" s="31" t="s">
        <v>929</v>
      </c>
      <c r="C766" s="31" t="s">
        <v>57</v>
      </c>
      <c r="D766" s="31" t="s">
        <v>1552</v>
      </c>
      <c r="E766" s="31">
        <v>7</v>
      </c>
      <c r="F766" s="31">
        <v>7</v>
      </c>
      <c r="G766" s="9">
        <v>0</v>
      </c>
      <c r="H766" s="7" t="s">
        <v>1142</v>
      </c>
      <c r="I766" s="7" t="s">
        <v>1438</v>
      </c>
    </row>
    <row r="767" spans="1:9" ht="102" x14ac:dyDescent="0.25">
      <c r="A767" s="33" t="s">
        <v>930</v>
      </c>
      <c r="B767" s="31" t="s">
        <v>929</v>
      </c>
      <c r="C767" s="31" t="s">
        <v>57</v>
      </c>
      <c r="D767" s="31" t="s">
        <v>1552</v>
      </c>
      <c r="E767" s="31">
        <v>17</v>
      </c>
      <c r="F767" s="31">
        <v>17</v>
      </c>
      <c r="G767" s="9">
        <v>0</v>
      </c>
      <c r="H767" s="7" t="s">
        <v>1138</v>
      </c>
      <c r="I767" s="7" t="s">
        <v>1438</v>
      </c>
    </row>
    <row r="768" spans="1:9" ht="293.25" x14ac:dyDescent="0.25">
      <c r="A768" s="33" t="s">
        <v>930</v>
      </c>
      <c r="B768" s="31" t="s">
        <v>929</v>
      </c>
      <c r="C768" s="31" t="s">
        <v>57</v>
      </c>
      <c r="D768" s="31" t="s">
        <v>1552</v>
      </c>
      <c r="E768" s="31">
        <v>25</v>
      </c>
      <c r="F768" s="31">
        <v>26</v>
      </c>
      <c r="G768" s="9">
        <v>0</v>
      </c>
      <c r="H768" s="7" t="s">
        <v>1135</v>
      </c>
      <c r="I768" s="7" t="s">
        <v>1438</v>
      </c>
    </row>
    <row r="769" spans="1:9" ht="178.5" x14ac:dyDescent="0.25">
      <c r="A769" s="33" t="s">
        <v>930</v>
      </c>
      <c r="B769" s="31" t="s">
        <v>929</v>
      </c>
      <c r="C769" s="31" t="s">
        <v>57</v>
      </c>
      <c r="D769" s="31" t="s">
        <v>1552</v>
      </c>
      <c r="E769" s="31">
        <v>34</v>
      </c>
      <c r="F769" s="31">
        <v>34</v>
      </c>
      <c r="G769" s="9">
        <v>0</v>
      </c>
      <c r="H769" s="7" t="s">
        <v>1131</v>
      </c>
      <c r="I769" s="7" t="s">
        <v>1438</v>
      </c>
    </row>
    <row r="770" spans="1:9" ht="255" x14ac:dyDescent="0.25">
      <c r="A770" s="33" t="s">
        <v>930</v>
      </c>
      <c r="B770" s="31" t="s">
        <v>929</v>
      </c>
      <c r="C770" s="31" t="s">
        <v>57</v>
      </c>
      <c r="D770" s="31" t="s">
        <v>1552</v>
      </c>
      <c r="E770" s="31">
        <v>36</v>
      </c>
      <c r="F770" s="31">
        <v>38</v>
      </c>
      <c r="G770" s="9">
        <v>0</v>
      </c>
      <c r="H770" s="7" t="s">
        <v>1130</v>
      </c>
      <c r="I770" s="7" t="s">
        <v>1438</v>
      </c>
    </row>
    <row r="771" spans="1:9" ht="216.75" x14ac:dyDescent="0.25">
      <c r="A771" s="33" t="s">
        <v>930</v>
      </c>
      <c r="B771" s="31" t="s">
        <v>929</v>
      </c>
      <c r="C771" s="31" t="s">
        <v>211</v>
      </c>
      <c r="D771" s="31" t="s">
        <v>1552</v>
      </c>
      <c r="E771" s="31">
        <v>19</v>
      </c>
      <c r="F771" s="31">
        <v>21</v>
      </c>
      <c r="G771" s="9">
        <v>0</v>
      </c>
      <c r="H771" s="7" t="s">
        <v>1125</v>
      </c>
      <c r="I771" s="7" t="s">
        <v>1438</v>
      </c>
    </row>
    <row r="772" spans="1:9" ht="331.5" x14ac:dyDescent="0.25">
      <c r="A772" s="33" t="s">
        <v>930</v>
      </c>
      <c r="B772" s="31" t="s">
        <v>929</v>
      </c>
      <c r="C772" s="31" t="s">
        <v>211</v>
      </c>
      <c r="D772" s="31" t="s">
        <v>1552</v>
      </c>
      <c r="E772" s="31">
        <v>28</v>
      </c>
      <c r="F772" s="31">
        <v>31</v>
      </c>
      <c r="G772" s="9">
        <v>0</v>
      </c>
      <c r="H772" s="7" t="s">
        <v>1124</v>
      </c>
      <c r="I772" s="7" t="s">
        <v>1438</v>
      </c>
    </row>
    <row r="773" spans="1:9" ht="178.5" x14ac:dyDescent="0.25">
      <c r="A773" s="33" t="s">
        <v>930</v>
      </c>
      <c r="B773" s="31" t="s">
        <v>929</v>
      </c>
      <c r="C773" s="31" t="s">
        <v>211</v>
      </c>
      <c r="D773" s="31" t="s">
        <v>1552</v>
      </c>
      <c r="E773" s="31">
        <v>33</v>
      </c>
      <c r="F773" s="31">
        <v>35</v>
      </c>
      <c r="G773" s="9">
        <v>0</v>
      </c>
      <c r="H773" s="7" t="s">
        <v>1123</v>
      </c>
      <c r="I773" s="7" t="s">
        <v>1438</v>
      </c>
    </row>
    <row r="774" spans="1:9" ht="191.25" x14ac:dyDescent="0.25">
      <c r="A774" s="33" t="s">
        <v>930</v>
      </c>
      <c r="B774" s="31" t="s">
        <v>929</v>
      </c>
      <c r="C774" s="31" t="s">
        <v>446</v>
      </c>
      <c r="D774" s="31" t="s">
        <v>1552</v>
      </c>
      <c r="E774" s="31">
        <v>13</v>
      </c>
      <c r="F774" s="31">
        <v>13</v>
      </c>
      <c r="G774" s="9">
        <v>0</v>
      </c>
      <c r="H774" s="7" t="s">
        <v>1115</v>
      </c>
      <c r="I774" s="7" t="s">
        <v>1438</v>
      </c>
    </row>
    <row r="775" spans="1:9" ht="395.25" x14ac:dyDescent="0.25">
      <c r="A775" s="33" t="s">
        <v>930</v>
      </c>
      <c r="B775" s="31" t="s">
        <v>929</v>
      </c>
      <c r="C775" s="31" t="s">
        <v>446</v>
      </c>
      <c r="D775" s="31" t="s">
        <v>1552</v>
      </c>
      <c r="E775" s="31">
        <v>21</v>
      </c>
      <c r="F775" s="31">
        <v>23</v>
      </c>
      <c r="G775" s="9">
        <v>0</v>
      </c>
      <c r="H775" s="7" t="s">
        <v>1112</v>
      </c>
      <c r="I775" s="7" t="s">
        <v>1438</v>
      </c>
    </row>
    <row r="776" spans="1:9" ht="153" x14ac:dyDescent="0.25">
      <c r="A776" s="33" t="s">
        <v>930</v>
      </c>
      <c r="B776" s="31" t="s">
        <v>929</v>
      </c>
      <c r="C776" s="31" t="s">
        <v>446</v>
      </c>
      <c r="D776" s="31" t="s">
        <v>1552</v>
      </c>
      <c r="E776" s="31">
        <v>26</v>
      </c>
      <c r="F776" s="31">
        <v>26</v>
      </c>
      <c r="G776" s="9">
        <v>0</v>
      </c>
      <c r="H776" s="7" t="s">
        <v>1110</v>
      </c>
      <c r="I776" s="7" t="s">
        <v>1438</v>
      </c>
    </row>
    <row r="777" spans="1:9" ht="369.75" x14ac:dyDescent="0.25">
      <c r="A777" s="33" t="s">
        <v>930</v>
      </c>
      <c r="B777" s="31" t="s">
        <v>929</v>
      </c>
      <c r="C777" s="31" t="s">
        <v>754</v>
      </c>
      <c r="D777" s="31" t="s">
        <v>1552</v>
      </c>
      <c r="E777" s="31">
        <v>19</v>
      </c>
      <c r="F777" s="31">
        <v>21</v>
      </c>
      <c r="G777" s="9">
        <v>0</v>
      </c>
      <c r="H777" s="7" t="s">
        <v>1106</v>
      </c>
      <c r="I777" s="7" t="s">
        <v>1438</v>
      </c>
    </row>
    <row r="778" spans="1:9" ht="204" x14ac:dyDescent="0.25">
      <c r="A778" s="33" t="s">
        <v>930</v>
      </c>
      <c r="B778" s="31" t="s">
        <v>929</v>
      </c>
      <c r="C778" s="31" t="s">
        <v>754</v>
      </c>
      <c r="D778" s="31" t="s">
        <v>1552</v>
      </c>
      <c r="E778" s="31">
        <v>24</v>
      </c>
      <c r="F778" s="31">
        <v>25</v>
      </c>
      <c r="G778" s="9">
        <v>0</v>
      </c>
      <c r="H778" s="7" t="s">
        <v>1105</v>
      </c>
      <c r="I778" s="7" t="s">
        <v>1438</v>
      </c>
    </row>
    <row r="779" spans="1:9" ht="216.75" x14ac:dyDescent="0.25">
      <c r="A779" s="33" t="s">
        <v>930</v>
      </c>
      <c r="B779" s="31" t="s">
        <v>929</v>
      </c>
      <c r="C779" s="31" t="s">
        <v>754</v>
      </c>
      <c r="D779" s="31" t="s">
        <v>1552</v>
      </c>
      <c r="E779" s="31">
        <v>28</v>
      </c>
      <c r="F779" s="31">
        <v>29</v>
      </c>
      <c r="G779" s="9">
        <v>0</v>
      </c>
      <c r="H779" s="7" t="s">
        <v>1104</v>
      </c>
      <c r="I779" s="7" t="s">
        <v>1438</v>
      </c>
    </row>
    <row r="780" spans="1:9" ht="89.25" x14ac:dyDescent="0.25">
      <c r="A780" s="33" t="s">
        <v>930</v>
      </c>
      <c r="B780" s="31" t="s">
        <v>929</v>
      </c>
      <c r="C780" s="31" t="s">
        <v>246</v>
      </c>
      <c r="D780" s="31" t="s">
        <v>1552</v>
      </c>
      <c r="E780" s="31">
        <v>19</v>
      </c>
      <c r="F780" s="31">
        <v>19</v>
      </c>
      <c r="G780" s="9">
        <v>0</v>
      </c>
      <c r="H780" s="7" t="s">
        <v>1099</v>
      </c>
      <c r="I780" s="7" t="s">
        <v>1438</v>
      </c>
    </row>
    <row r="781" spans="1:9" ht="191.25" x14ac:dyDescent="0.25">
      <c r="A781" s="33" t="s">
        <v>930</v>
      </c>
      <c r="B781" s="31" t="s">
        <v>929</v>
      </c>
      <c r="C781" s="31" t="s">
        <v>246</v>
      </c>
      <c r="D781" s="31" t="s">
        <v>1552</v>
      </c>
      <c r="E781" s="31">
        <v>22</v>
      </c>
      <c r="F781" s="31">
        <v>22</v>
      </c>
      <c r="G781" s="9">
        <v>0</v>
      </c>
      <c r="H781" s="7" t="s">
        <v>1098</v>
      </c>
      <c r="I781" s="7" t="s">
        <v>1438</v>
      </c>
    </row>
    <row r="782" spans="1:9" ht="153" x14ac:dyDescent="0.25">
      <c r="A782" s="33" t="s">
        <v>930</v>
      </c>
      <c r="B782" s="31" t="s">
        <v>929</v>
      </c>
      <c r="C782" s="31" t="s">
        <v>603</v>
      </c>
      <c r="D782" s="31" t="s">
        <v>1552</v>
      </c>
      <c r="E782" s="31">
        <v>15</v>
      </c>
      <c r="F782" s="31">
        <v>15</v>
      </c>
      <c r="G782" s="9">
        <v>0</v>
      </c>
      <c r="H782" s="7" t="s">
        <v>1089</v>
      </c>
      <c r="I782" s="7" t="s">
        <v>1438</v>
      </c>
    </row>
    <row r="783" spans="1:9" ht="140.25" x14ac:dyDescent="0.25">
      <c r="A783" s="33" t="s">
        <v>930</v>
      </c>
      <c r="B783" s="31" t="s">
        <v>929</v>
      </c>
      <c r="C783" s="31" t="s">
        <v>603</v>
      </c>
      <c r="D783" s="31" t="s">
        <v>1552</v>
      </c>
      <c r="E783" s="31">
        <v>29</v>
      </c>
      <c r="F783" s="31">
        <v>29</v>
      </c>
      <c r="G783" s="9">
        <v>0</v>
      </c>
      <c r="H783" s="7" t="s">
        <v>1086</v>
      </c>
      <c r="I783" s="7" t="s">
        <v>1438</v>
      </c>
    </row>
    <row r="784" spans="1:9" ht="127.5" x14ac:dyDescent="0.25">
      <c r="A784" s="33" t="s">
        <v>930</v>
      </c>
      <c r="B784" s="31" t="s">
        <v>929</v>
      </c>
      <c r="C784" s="31" t="s">
        <v>234</v>
      </c>
      <c r="D784" s="31" t="s">
        <v>1552</v>
      </c>
      <c r="E784" s="31">
        <v>16</v>
      </c>
      <c r="F784" s="31">
        <v>16</v>
      </c>
      <c r="G784" s="9">
        <v>0</v>
      </c>
      <c r="H784" s="7" t="s">
        <v>1082</v>
      </c>
      <c r="I784" s="7" t="s">
        <v>1438</v>
      </c>
    </row>
    <row r="785" spans="1:9" ht="76.5" x14ac:dyDescent="0.25">
      <c r="A785" s="33" t="s">
        <v>930</v>
      </c>
      <c r="B785" s="31" t="s">
        <v>929</v>
      </c>
      <c r="C785" s="31" t="s">
        <v>234</v>
      </c>
      <c r="D785" s="31" t="s">
        <v>1552</v>
      </c>
      <c r="E785" s="31">
        <v>29</v>
      </c>
      <c r="F785" s="31">
        <v>29</v>
      </c>
      <c r="G785" s="9">
        <v>0</v>
      </c>
      <c r="H785" s="7" t="s">
        <v>1077</v>
      </c>
      <c r="I785" s="7" t="s">
        <v>1438</v>
      </c>
    </row>
    <row r="786" spans="1:9" ht="102" x14ac:dyDescent="0.25">
      <c r="A786" s="33" t="s">
        <v>930</v>
      </c>
      <c r="B786" s="31" t="s">
        <v>929</v>
      </c>
      <c r="C786" s="31" t="s">
        <v>616</v>
      </c>
      <c r="D786" s="31" t="s">
        <v>1552</v>
      </c>
      <c r="E786" s="31">
        <v>5</v>
      </c>
      <c r="F786" s="31">
        <v>5</v>
      </c>
      <c r="G786" s="9">
        <v>0</v>
      </c>
      <c r="H786" s="7" t="s">
        <v>1075</v>
      </c>
      <c r="I786" s="7" t="s">
        <v>1438</v>
      </c>
    </row>
    <row r="787" spans="1:9" ht="102" x14ac:dyDescent="0.25">
      <c r="A787" s="33" t="s">
        <v>930</v>
      </c>
      <c r="B787" s="31" t="s">
        <v>929</v>
      </c>
      <c r="C787" s="31" t="s">
        <v>616</v>
      </c>
      <c r="D787" s="31" t="s">
        <v>1552</v>
      </c>
      <c r="E787" s="31">
        <v>21</v>
      </c>
      <c r="F787" s="31">
        <v>21</v>
      </c>
      <c r="G787" s="9">
        <v>0</v>
      </c>
      <c r="H787" s="7" t="s">
        <v>1072</v>
      </c>
      <c r="I787" s="7" t="s">
        <v>1438</v>
      </c>
    </row>
    <row r="788" spans="1:9" ht="63.75" x14ac:dyDescent="0.25">
      <c r="A788" s="33" t="s">
        <v>930</v>
      </c>
      <c r="B788" s="31" t="s">
        <v>929</v>
      </c>
      <c r="C788" s="31" t="s">
        <v>616</v>
      </c>
      <c r="D788" s="31" t="s">
        <v>1552</v>
      </c>
      <c r="E788" s="31">
        <v>22</v>
      </c>
      <c r="F788" s="31">
        <v>22</v>
      </c>
      <c r="G788" s="9">
        <v>0</v>
      </c>
      <c r="H788" s="7" t="s">
        <v>1071</v>
      </c>
      <c r="I788" s="7" t="s">
        <v>1438</v>
      </c>
    </row>
    <row r="789" spans="1:9" ht="102" x14ac:dyDescent="0.25">
      <c r="A789" s="33" t="s">
        <v>930</v>
      </c>
      <c r="B789" s="31" t="s">
        <v>929</v>
      </c>
      <c r="C789" s="31" t="s">
        <v>616</v>
      </c>
      <c r="D789" s="31" t="s">
        <v>1552</v>
      </c>
      <c r="E789" s="31">
        <v>24</v>
      </c>
      <c r="F789" s="31">
        <v>24</v>
      </c>
      <c r="G789" s="9">
        <v>0</v>
      </c>
      <c r="H789" s="7" t="s">
        <v>1070</v>
      </c>
      <c r="I789" s="7" t="s">
        <v>1438</v>
      </c>
    </row>
    <row r="790" spans="1:9" ht="255" x14ac:dyDescent="0.25">
      <c r="A790" s="33" t="s">
        <v>930</v>
      </c>
      <c r="B790" s="31" t="s">
        <v>929</v>
      </c>
      <c r="C790" s="31" t="s">
        <v>616</v>
      </c>
      <c r="D790" s="31" t="s">
        <v>1552</v>
      </c>
      <c r="E790" s="31">
        <v>32</v>
      </c>
      <c r="F790" s="31">
        <v>32</v>
      </c>
      <c r="G790" s="9">
        <v>0</v>
      </c>
      <c r="H790" s="7" t="s">
        <v>1067</v>
      </c>
      <c r="I790" s="7" t="s">
        <v>1438</v>
      </c>
    </row>
    <row r="791" spans="1:9" ht="127.5" x14ac:dyDescent="0.25">
      <c r="A791" s="33" t="s">
        <v>930</v>
      </c>
      <c r="B791" s="31" t="s">
        <v>929</v>
      </c>
      <c r="C791" s="31" t="s">
        <v>716</v>
      </c>
      <c r="D791" s="31" t="s">
        <v>1552</v>
      </c>
      <c r="E791" s="31">
        <v>7</v>
      </c>
      <c r="F791" s="31">
        <v>7</v>
      </c>
      <c r="G791" s="9">
        <v>0</v>
      </c>
      <c r="H791" s="7" t="s">
        <v>1057</v>
      </c>
      <c r="I791" s="7" t="s">
        <v>1438</v>
      </c>
    </row>
    <row r="792" spans="1:9" ht="280.5" x14ac:dyDescent="0.25">
      <c r="A792" s="33" t="s">
        <v>930</v>
      </c>
      <c r="B792" s="31" t="s">
        <v>929</v>
      </c>
      <c r="C792" s="31" t="s">
        <v>716</v>
      </c>
      <c r="D792" s="31" t="s">
        <v>1552</v>
      </c>
      <c r="E792" s="31">
        <v>14</v>
      </c>
      <c r="F792" s="31">
        <v>15</v>
      </c>
      <c r="G792" s="9">
        <v>0</v>
      </c>
      <c r="H792" s="7" t="s">
        <v>1055</v>
      </c>
      <c r="I792" s="7" t="s">
        <v>1438</v>
      </c>
    </row>
    <row r="793" spans="1:9" ht="89.25" x14ac:dyDescent="0.25">
      <c r="A793" s="33" t="s">
        <v>930</v>
      </c>
      <c r="B793" s="31" t="s">
        <v>929</v>
      </c>
      <c r="C793" s="31" t="s">
        <v>716</v>
      </c>
      <c r="D793" s="31" t="s">
        <v>1552</v>
      </c>
      <c r="E793" s="31">
        <v>21</v>
      </c>
      <c r="F793" s="31">
        <v>21</v>
      </c>
      <c r="G793" s="9">
        <v>0</v>
      </c>
      <c r="H793" s="7" t="s">
        <v>1051</v>
      </c>
      <c r="I793" s="7" t="s">
        <v>1438</v>
      </c>
    </row>
    <row r="794" spans="1:9" ht="267.75" x14ac:dyDescent="0.25">
      <c r="A794" s="33" t="s">
        <v>930</v>
      </c>
      <c r="B794" s="31" t="s">
        <v>929</v>
      </c>
      <c r="C794" s="31" t="s">
        <v>716</v>
      </c>
      <c r="D794" s="31" t="s">
        <v>1552</v>
      </c>
      <c r="E794" s="31">
        <v>24</v>
      </c>
      <c r="F794" s="31">
        <v>26</v>
      </c>
      <c r="G794" s="9">
        <v>0</v>
      </c>
      <c r="H794" s="7" t="s">
        <v>1050</v>
      </c>
      <c r="I794" s="7" t="s">
        <v>1438</v>
      </c>
    </row>
    <row r="795" spans="1:9" ht="242.25" x14ac:dyDescent="0.25">
      <c r="A795" s="33" t="s">
        <v>930</v>
      </c>
      <c r="B795" s="31" t="s">
        <v>929</v>
      </c>
      <c r="C795" s="31" t="s">
        <v>716</v>
      </c>
      <c r="D795" s="31" t="s">
        <v>1552</v>
      </c>
      <c r="E795" s="31">
        <v>29</v>
      </c>
      <c r="F795" s="31">
        <v>30</v>
      </c>
      <c r="G795" s="9">
        <v>0</v>
      </c>
      <c r="H795" s="7" t="s">
        <v>1049</v>
      </c>
      <c r="I795" s="7" t="s">
        <v>1438</v>
      </c>
    </row>
    <row r="796" spans="1:9" ht="102" x14ac:dyDescent="0.25">
      <c r="A796" s="33" t="s">
        <v>930</v>
      </c>
      <c r="B796" s="31" t="s">
        <v>929</v>
      </c>
      <c r="C796" s="31" t="s">
        <v>272</v>
      </c>
      <c r="D796" s="31" t="s">
        <v>1552</v>
      </c>
      <c r="E796" s="31">
        <v>18</v>
      </c>
      <c r="F796" s="31">
        <v>18</v>
      </c>
      <c r="G796" s="9">
        <v>0</v>
      </c>
      <c r="H796" s="7" t="s">
        <v>1044</v>
      </c>
      <c r="I796" s="7" t="s">
        <v>1438</v>
      </c>
    </row>
    <row r="797" spans="1:9" ht="204" x14ac:dyDescent="0.25">
      <c r="A797" s="33" t="s">
        <v>930</v>
      </c>
      <c r="B797" s="31" t="s">
        <v>929</v>
      </c>
      <c r="C797" s="31" t="s">
        <v>272</v>
      </c>
      <c r="D797" s="31" t="s">
        <v>1552</v>
      </c>
      <c r="E797" s="31">
        <v>29</v>
      </c>
      <c r="F797" s="31">
        <v>29</v>
      </c>
      <c r="G797" s="9">
        <v>0</v>
      </c>
      <c r="H797" s="7" t="s">
        <v>1042</v>
      </c>
      <c r="I797" s="7" t="s">
        <v>1438</v>
      </c>
    </row>
    <row r="798" spans="1:9" ht="102" x14ac:dyDescent="0.25">
      <c r="A798" s="33" t="s">
        <v>930</v>
      </c>
      <c r="B798" s="31" t="s">
        <v>929</v>
      </c>
      <c r="C798" s="31" t="s">
        <v>693</v>
      </c>
      <c r="D798" s="31" t="s">
        <v>1552</v>
      </c>
      <c r="E798" s="31">
        <v>20</v>
      </c>
      <c r="F798" s="31">
        <v>20</v>
      </c>
      <c r="G798" s="9">
        <v>0</v>
      </c>
      <c r="H798" s="7" t="s">
        <v>1031</v>
      </c>
      <c r="I798" s="7" t="s">
        <v>1438</v>
      </c>
    </row>
    <row r="799" spans="1:9" ht="242.25" x14ac:dyDescent="0.25">
      <c r="A799" s="33" t="s">
        <v>930</v>
      </c>
      <c r="B799" s="31" t="s">
        <v>929</v>
      </c>
      <c r="C799" s="31" t="s">
        <v>693</v>
      </c>
      <c r="D799" s="31" t="s">
        <v>1552</v>
      </c>
      <c r="E799" s="31">
        <v>21</v>
      </c>
      <c r="F799" s="31">
        <v>22</v>
      </c>
      <c r="G799" s="9">
        <v>0</v>
      </c>
      <c r="H799" s="7" t="s">
        <v>1030</v>
      </c>
      <c r="I799" s="7" t="s">
        <v>1438</v>
      </c>
    </row>
    <row r="800" spans="1:9" ht="267.75" x14ac:dyDescent="0.25">
      <c r="A800" s="33" t="s">
        <v>930</v>
      </c>
      <c r="B800" s="31" t="s">
        <v>929</v>
      </c>
      <c r="C800" s="31" t="s">
        <v>693</v>
      </c>
      <c r="D800" s="31" t="s">
        <v>1552</v>
      </c>
      <c r="E800" s="31">
        <v>23</v>
      </c>
      <c r="F800" s="31">
        <v>25</v>
      </c>
      <c r="G800" s="9">
        <v>0</v>
      </c>
      <c r="H800" s="7" t="s">
        <v>1029</v>
      </c>
      <c r="I800" s="7" t="s">
        <v>1438</v>
      </c>
    </row>
    <row r="801" spans="1:9" ht="102" x14ac:dyDescent="0.25">
      <c r="A801" s="33" t="s">
        <v>930</v>
      </c>
      <c r="B801" s="31" t="s">
        <v>929</v>
      </c>
      <c r="C801" s="31" t="s">
        <v>693</v>
      </c>
      <c r="D801" s="31" t="s">
        <v>1552</v>
      </c>
      <c r="E801" s="31">
        <v>34</v>
      </c>
      <c r="F801" s="31">
        <v>34</v>
      </c>
      <c r="G801" s="9">
        <v>0</v>
      </c>
      <c r="H801" s="7" t="s">
        <v>1028</v>
      </c>
      <c r="I801" s="7" t="s">
        <v>1438</v>
      </c>
    </row>
    <row r="802" spans="1:9" ht="153" x14ac:dyDescent="0.25">
      <c r="A802" s="33" t="s">
        <v>930</v>
      </c>
      <c r="B802" s="31" t="s">
        <v>929</v>
      </c>
      <c r="C802" s="31" t="s">
        <v>693</v>
      </c>
      <c r="D802" s="31" t="s">
        <v>1552</v>
      </c>
      <c r="E802" s="31">
        <v>35</v>
      </c>
      <c r="F802" s="31">
        <v>35</v>
      </c>
      <c r="G802" s="9">
        <v>0</v>
      </c>
      <c r="H802" s="7" t="s">
        <v>1027</v>
      </c>
      <c r="I802" s="7" t="s">
        <v>1438</v>
      </c>
    </row>
    <row r="803" spans="1:9" ht="140.25" x14ac:dyDescent="0.25">
      <c r="A803" s="33" t="s">
        <v>930</v>
      </c>
      <c r="B803" s="31" t="s">
        <v>929</v>
      </c>
      <c r="C803" s="31" t="s">
        <v>199</v>
      </c>
      <c r="D803" s="31" t="s">
        <v>1552</v>
      </c>
      <c r="E803" s="31">
        <v>9</v>
      </c>
      <c r="F803" s="31">
        <v>9</v>
      </c>
      <c r="G803" s="9">
        <v>0</v>
      </c>
      <c r="H803" s="7" t="s">
        <v>1025</v>
      </c>
      <c r="I803" s="7" t="s">
        <v>1438</v>
      </c>
    </row>
    <row r="804" spans="1:9" ht="165.75" x14ac:dyDescent="0.25">
      <c r="A804" s="33" t="s">
        <v>930</v>
      </c>
      <c r="B804" s="31" t="s">
        <v>929</v>
      </c>
      <c r="C804" s="31" t="s">
        <v>199</v>
      </c>
      <c r="D804" s="31" t="s">
        <v>1552</v>
      </c>
      <c r="E804" s="31">
        <v>10</v>
      </c>
      <c r="F804" s="31">
        <v>10</v>
      </c>
      <c r="G804" s="9">
        <v>0</v>
      </c>
      <c r="H804" s="7" t="s">
        <v>1024</v>
      </c>
      <c r="I804" s="7" t="s">
        <v>1438</v>
      </c>
    </row>
    <row r="805" spans="1:9" ht="102" x14ac:dyDescent="0.25">
      <c r="A805" s="33" t="s">
        <v>930</v>
      </c>
      <c r="B805" s="31" t="s">
        <v>929</v>
      </c>
      <c r="C805" s="31" t="s">
        <v>199</v>
      </c>
      <c r="D805" s="31" t="s">
        <v>1552</v>
      </c>
      <c r="E805" s="31">
        <v>13</v>
      </c>
      <c r="F805" s="31">
        <v>13</v>
      </c>
      <c r="G805" s="9">
        <v>0</v>
      </c>
      <c r="H805" s="7" t="s">
        <v>1023</v>
      </c>
      <c r="I805" s="7" t="s">
        <v>1438</v>
      </c>
    </row>
    <row r="806" spans="1:9" ht="255" x14ac:dyDescent="0.25">
      <c r="A806" s="33" t="s">
        <v>930</v>
      </c>
      <c r="B806" s="31" t="s">
        <v>929</v>
      </c>
      <c r="C806" s="31" t="s">
        <v>199</v>
      </c>
      <c r="D806" s="31" t="s">
        <v>1552</v>
      </c>
      <c r="E806" s="31">
        <v>25</v>
      </c>
      <c r="F806" s="31">
        <v>27</v>
      </c>
      <c r="G806" s="9">
        <v>0</v>
      </c>
      <c r="H806" s="7" t="s">
        <v>1019</v>
      </c>
      <c r="I806" s="7" t="s">
        <v>1438</v>
      </c>
    </row>
    <row r="807" spans="1:9" ht="255" x14ac:dyDescent="0.25">
      <c r="A807" s="33" t="s">
        <v>930</v>
      </c>
      <c r="B807" s="31" t="s">
        <v>929</v>
      </c>
      <c r="C807" s="31" t="s">
        <v>224</v>
      </c>
      <c r="D807" s="31" t="s">
        <v>1552</v>
      </c>
      <c r="E807" s="31">
        <v>5</v>
      </c>
      <c r="F807" s="31">
        <v>6</v>
      </c>
      <c r="G807" s="9">
        <v>0</v>
      </c>
      <c r="H807" s="7" t="s">
        <v>1014</v>
      </c>
      <c r="I807" s="7" t="s">
        <v>1438</v>
      </c>
    </row>
    <row r="808" spans="1:9" ht="127.5" x14ac:dyDescent="0.25">
      <c r="A808" s="33" t="s">
        <v>930</v>
      </c>
      <c r="B808" s="31" t="s">
        <v>929</v>
      </c>
      <c r="C808" s="31" t="s">
        <v>224</v>
      </c>
      <c r="D808" s="31" t="s">
        <v>1552</v>
      </c>
      <c r="E808" s="31">
        <v>8</v>
      </c>
      <c r="F808" s="31">
        <v>8</v>
      </c>
      <c r="G808" s="9">
        <v>0</v>
      </c>
      <c r="H808" s="7" t="s">
        <v>1666</v>
      </c>
      <c r="I808" s="7" t="s">
        <v>1438</v>
      </c>
    </row>
    <row r="809" spans="1:9" ht="89.25" x14ac:dyDescent="0.25">
      <c r="A809" s="33" t="s">
        <v>930</v>
      </c>
      <c r="B809" s="31" t="s">
        <v>929</v>
      </c>
      <c r="C809" s="31" t="s">
        <v>224</v>
      </c>
      <c r="D809" s="31" t="s">
        <v>1552</v>
      </c>
      <c r="E809" s="31">
        <v>10</v>
      </c>
      <c r="F809" s="31">
        <v>10</v>
      </c>
      <c r="G809" s="9">
        <v>0</v>
      </c>
      <c r="H809" s="7" t="s">
        <v>1012</v>
      </c>
      <c r="I809" s="7" t="s">
        <v>1438</v>
      </c>
    </row>
    <row r="810" spans="1:9" ht="127.5" x14ac:dyDescent="0.25">
      <c r="A810" s="33" t="s">
        <v>930</v>
      </c>
      <c r="B810" s="31" t="s">
        <v>929</v>
      </c>
      <c r="C810" s="31" t="s">
        <v>224</v>
      </c>
      <c r="D810" s="31" t="s">
        <v>1552</v>
      </c>
      <c r="E810" s="31">
        <v>13</v>
      </c>
      <c r="F810" s="31">
        <v>13</v>
      </c>
      <c r="G810" s="9">
        <v>0</v>
      </c>
      <c r="H810" s="7" t="s">
        <v>1011</v>
      </c>
      <c r="I810" s="7" t="s">
        <v>1438</v>
      </c>
    </row>
    <row r="811" spans="1:9" ht="102" x14ac:dyDescent="0.25">
      <c r="A811" s="33" t="s">
        <v>930</v>
      </c>
      <c r="B811" s="31" t="s">
        <v>929</v>
      </c>
      <c r="C811" s="31" t="s">
        <v>224</v>
      </c>
      <c r="D811" s="31" t="s">
        <v>1552</v>
      </c>
      <c r="E811" s="31">
        <v>15</v>
      </c>
      <c r="F811" s="31">
        <v>15</v>
      </c>
      <c r="G811" s="9">
        <v>0</v>
      </c>
      <c r="H811" s="7" t="s">
        <v>1009</v>
      </c>
      <c r="I811" s="7" t="s">
        <v>1438</v>
      </c>
    </row>
    <row r="812" spans="1:9" ht="114.75" x14ac:dyDescent="0.25">
      <c r="A812" s="33" t="s">
        <v>930</v>
      </c>
      <c r="B812" s="31" t="s">
        <v>929</v>
      </c>
      <c r="C812" s="31" t="s">
        <v>224</v>
      </c>
      <c r="D812" s="31" t="s">
        <v>1552</v>
      </c>
      <c r="E812" s="31">
        <v>19</v>
      </c>
      <c r="F812" s="31">
        <v>19</v>
      </c>
      <c r="G812" s="9">
        <v>0</v>
      </c>
      <c r="H812" s="7" t="s">
        <v>1007</v>
      </c>
      <c r="I812" s="7" t="s">
        <v>1438</v>
      </c>
    </row>
    <row r="813" spans="1:9" ht="204" x14ac:dyDescent="0.25">
      <c r="A813" s="33" t="s">
        <v>930</v>
      </c>
      <c r="B813" s="31" t="s">
        <v>929</v>
      </c>
      <c r="C813" s="31" t="s">
        <v>224</v>
      </c>
      <c r="D813" s="31" t="s">
        <v>1552</v>
      </c>
      <c r="E813" s="31">
        <v>20</v>
      </c>
      <c r="F813" s="31">
        <v>20</v>
      </c>
      <c r="G813" s="9">
        <v>0</v>
      </c>
      <c r="H813" s="7" t="s">
        <v>1006</v>
      </c>
      <c r="I813" s="7" t="s">
        <v>1438</v>
      </c>
    </row>
    <row r="814" spans="1:9" ht="127.5" x14ac:dyDescent="0.25">
      <c r="A814" s="33" t="s">
        <v>930</v>
      </c>
      <c r="B814" s="31" t="s">
        <v>929</v>
      </c>
      <c r="C814" s="31" t="s">
        <v>224</v>
      </c>
      <c r="D814" s="31" t="s">
        <v>1552</v>
      </c>
      <c r="E814" s="31">
        <v>21</v>
      </c>
      <c r="F814" s="31">
        <v>21</v>
      </c>
      <c r="G814" s="9">
        <v>0</v>
      </c>
      <c r="H814" s="7" t="s">
        <v>1005</v>
      </c>
      <c r="I814" s="7" t="s">
        <v>1438</v>
      </c>
    </row>
    <row r="815" spans="1:9" ht="229.5" x14ac:dyDescent="0.25">
      <c r="A815" s="33" t="s">
        <v>930</v>
      </c>
      <c r="B815" s="31" t="s">
        <v>929</v>
      </c>
      <c r="C815" s="31" t="s">
        <v>224</v>
      </c>
      <c r="D815" s="31" t="s">
        <v>1552</v>
      </c>
      <c r="E815" s="31">
        <v>22</v>
      </c>
      <c r="F815" s="31">
        <v>22</v>
      </c>
      <c r="G815" s="9">
        <v>0</v>
      </c>
      <c r="H815" s="7" t="s">
        <v>1004</v>
      </c>
      <c r="I815" s="7" t="s">
        <v>1438</v>
      </c>
    </row>
    <row r="816" spans="1:9" ht="114.75" x14ac:dyDescent="0.25">
      <c r="A816" s="33" t="s">
        <v>930</v>
      </c>
      <c r="B816" s="31" t="s">
        <v>929</v>
      </c>
      <c r="C816" s="31" t="s">
        <v>454</v>
      </c>
      <c r="D816" s="31" t="s">
        <v>1552</v>
      </c>
      <c r="E816" s="31">
        <v>11</v>
      </c>
      <c r="F816" s="31">
        <v>11</v>
      </c>
      <c r="G816" s="9">
        <v>0</v>
      </c>
      <c r="H816" s="7" t="s">
        <v>1000</v>
      </c>
      <c r="I816" s="7" t="s">
        <v>1438</v>
      </c>
    </row>
    <row r="817" spans="1:9" ht="255" x14ac:dyDescent="0.25">
      <c r="A817" s="33" t="s">
        <v>930</v>
      </c>
      <c r="B817" s="31" t="s">
        <v>929</v>
      </c>
      <c r="C817" s="31" t="s">
        <v>454</v>
      </c>
      <c r="D817" s="31" t="s">
        <v>1552</v>
      </c>
      <c r="E817" s="31">
        <v>29</v>
      </c>
      <c r="F817" s="31">
        <v>31</v>
      </c>
      <c r="G817" s="9">
        <v>0</v>
      </c>
      <c r="H817" s="7" t="s">
        <v>997</v>
      </c>
      <c r="I817" s="7" t="s">
        <v>1438</v>
      </c>
    </row>
    <row r="818" spans="1:9" ht="114.75" x14ac:dyDescent="0.25">
      <c r="A818" s="33" t="s">
        <v>930</v>
      </c>
      <c r="B818" s="31" t="s">
        <v>929</v>
      </c>
      <c r="C818" s="31" t="s">
        <v>454</v>
      </c>
      <c r="D818" s="31" t="s">
        <v>1552</v>
      </c>
      <c r="E818" s="31">
        <v>37</v>
      </c>
      <c r="F818" s="31">
        <v>37</v>
      </c>
      <c r="G818" s="9">
        <v>0</v>
      </c>
      <c r="H818" s="7" t="s">
        <v>996</v>
      </c>
      <c r="I818" s="7" t="s">
        <v>1438</v>
      </c>
    </row>
    <row r="819" spans="1:9" ht="165.75" x14ac:dyDescent="0.25">
      <c r="A819" s="33" t="s">
        <v>930</v>
      </c>
      <c r="B819" s="31" t="s">
        <v>929</v>
      </c>
      <c r="C819" s="31" t="s">
        <v>143</v>
      </c>
      <c r="D819" s="31" t="s">
        <v>1552</v>
      </c>
      <c r="E819" s="31">
        <v>18</v>
      </c>
      <c r="F819" s="31">
        <v>18</v>
      </c>
      <c r="G819" s="9">
        <v>0</v>
      </c>
      <c r="H819" s="7" t="s">
        <v>992</v>
      </c>
      <c r="I819" s="7" t="s">
        <v>1438</v>
      </c>
    </row>
    <row r="820" spans="1:9" ht="229.5" x14ac:dyDescent="0.25">
      <c r="A820" s="33" t="s">
        <v>930</v>
      </c>
      <c r="B820" s="31" t="s">
        <v>929</v>
      </c>
      <c r="C820" s="31" t="s">
        <v>664</v>
      </c>
      <c r="D820" s="31" t="s">
        <v>1552</v>
      </c>
      <c r="E820" s="31">
        <v>29</v>
      </c>
      <c r="F820" s="31">
        <v>29</v>
      </c>
      <c r="G820" s="9">
        <v>0</v>
      </c>
      <c r="H820" s="7" t="s">
        <v>983</v>
      </c>
      <c r="I820" s="7" t="s">
        <v>1438</v>
      </c>
    </row>
    <row r="821" spans="1:9" ht="153" x14ac:dyDescent="0.25">
      <c r="A821" s="33" t="s">
        <v>930</v>
      </c>
      <c r="B821" s="31" t="s">
        <v>929</v>
      </c>
      <c r="C821" s="31" t="s">
        <v>295</v>
      </c>
      <c r="D821" s="31" t="s">
        <v>1552</v>
      </c>
      <c r="E821" s="31">
        <v>10</v>
      </c>
      <c r="F821" s="31">
        <v>10</v>
      </c>
      <c r="G821" s="9">
        <v>0</v>
      </c>
      <c r="H821" s="7" t="s">
        <v>980</v>
      </c>
      <c r="I821" s="7" t="s">
        <v>1438</v>
      </c>
    </row>
    <row r="822" spans="1:9" ht="140.25" x14ac:dyDescent="0.25">
      <c r="A822" s="33" t="s">
        <v>930</v>
      </c>
      <c r="B822" s="31" t="s">
        <v>929</v>
      </c>
      <c r="C822" s="31" t="s">
        <v>295</v>
      </c>
      <c r="D822" s="31" t="s">
        <v>1552</v>
      </c>
      <c r="E822" s="31">
        <v>17</v>
      </c>
      <c r="F822" s="31">
        <v>17</v>
      </c>
      <c r="G822" s="9">
        <v>0</v>
      </c>
      <c r="H822" s="7" t="s">
        <v>978</v>
      </c>
      <c r="I822" s="7" t="s">
        <v>1438</v>
      </c>
    </row>
    <row r="823" spans="1:9" ht="102" x14ac:dyDescent="0.25">
      <c r="A823" s="33" t="s">
        <v>930</v>
      </c>
      <c r="B823" s="31" t="s">
        <v>929</v>
      </c>
      <c r="C823" s="31" t="s">
        <v>654</v>
      </c>
      <c r="D823" s="31" t="s">
        <v>1552</v>
      </c>
      <c r="E823" s="31">
        <v>21</v>
      </c>
      <c r="F823" s="31">
        <v>21</v>
      </c>
      <c r="G823" s="9">
        <v>0</v>
      </c>
      <c r="H823" s="7" t="s">
        <v>935</v>
      </c>
      <c r="I823" s="7" t="s">
        <v>1438</v>
      </c>
    </row>
    <row r="824" spans="1:9" ht="102" x14ac:dyDescent="0.25">
      <c r="A824" s="33" t="s">
        <v>930</v>
      </c>
      <c r="B824" s="31" t="s">
        <v>929</v>
      </c>
      <c r="C824" s="31" t="s">
        <v>654</v>
      </c>
      <c r="D824" s="31" t="s">
        <v>1552</v>
      </c>
      <c r="E824" s="31">
        <v>23</v>
      </c>
      <c r="F824" s="31">
        <v>23</v>
      </c>
      <c r="G824" s="9">
        <v>0</v>
      </c>
      <c r="H824" s="7" t="s">
        <v>934</v>
      </c>
      <c r="I824" s="7" t="s">
        <v>1438</v>
      </c>
    </row>
    <row r="825" spans="1:9" ht="216.75" x14ac:dyDescent="0.25">
      <c r="A825" s="33" t="s">
        <v>930</v>
      </c>
      <c r="B825" s="31" t="s">
        <v>929</v>
      </c>
      <c r="C825" s="31" t="s">
        <v>654</v>
      </c>
      <c r="D825" s="31" t="s">
        <v>1552</v>
      </c>
      <c r="E825" s="31">
        <v>39</v>
      </c>
      <c r="F825" s="31">
        <v>40</v>
      </c>
      <c r="G825" s="9">
        <v>0</v>
      </c>
      <c r="H825" s="7" t="s">
        <v>928</v>
      </c>
      <c r="I825" s="7" t="s">
        <v>1438</v>
      </c>
    </row>
    <row r="826" spans="1:9" ht="140.25" x14ac:dyDescent="0.25">
      <c r="A826" s="34" t="s">
        <v>930</v>
      </c>
      <c r="B826" s="31" t="s">
        <v>929</v>
      </c>
      <c r="C826" s="31" t="s">
        <v>316</v>
      </c>
      <c r="D826" s="31" t="s">
        <v>1553</v>
      </c>
      <c r="E826" s="31">
        <v>42</v>
      </c>
      <c r="F826" s="31">
        <v>42</v>
      </c>
      <c r="G826" s="9">
        <v>0</v>
      </c>
      <c r="H826" s="7" t="s">
        <v>1509</v>
      </c>
      <c r="I826" s="7" t="s">
        <v>1438</v>
      </c>
    </row>
    <row r="827" spans="1:9" ht="153" x14ac:dyDescent="0.25">
      <c r="A827" s="34" t="s">
        <v>930</v>
      </c>
      <c r="B827" s="31" t="s">
        <v>929</v>
      </c>
      <c r="C827" s="31" t="s">
        <v>67</v>
      </c>
      <c r="D827" s="31" t="s">
        <v>1553</v>
      </c>
      <c r="E827" s="31">
        <v>46</v>
      </c>
      <c r="F827" s="31">
        <v>46</v>
      </c>
      <c r="G827" s="9">
        <v>0</v>
      </c>
      <c r="H827" s="7" t="s">
        <v>1225</v>
      </c>
      <c r="I827" s="7" t="s">
        <v>1438</v>
      </c>
    </row>
    <row r="828" spans="1:9" ht="63.75" x14ac:dyDescent="0.25">
      <c r="A828" s="34" t="s">
        <v>930</v>
      </c>
      <c r="B828" s="31" t="s">
        <v>929</v>
      </c>
      <c r="C828" s="31" t="s">
        <v>399</v>
      </c>
      <c r="D828" s="31" t="s">
        <v>1553</v>
      </c>
      <c r="E828" s="31">
        <v>36</v>
      </c>
      <c r="F828" s="31">
        <v>36</v>
      </c>
      <c r="G828" s="9">
        <v>0</v>
      </c>
      <c r="H828" s="7" t="s">
        <v>1213</v>
      </c>
      <c r="I828" s="7" t="s">
        <v>1438</v>
      </c>
    </row>
    <row r="829" spans="1:9" ht="357" x14ac:dyDescent="0.25">
      <c r="A829" s="34" t="s">
        <v>930</v>
      </c>
      <c r="B829" s="31" t="s">
        <v>929</v>
      </c>
      <c r="C829" s="31" t="s">
        <v>304</v>
      </c>
      <c r="D829" s="31" t="s">
        <v>1553</v>
      </c>
      <c r="E829" s="31">
        <v>29</v>
      </c>
      <c r="F829" s="31">
        <v>31</v>
      </c>
      <c r="G829" s="9">
        <v>0</v>
      </c>
      <c r="H829" s="7" t="s">
        <v>1205</v>
      </c>
      <c r="I829" s="7" t="s">
        <v>1438</v>
      </c>
    </row>
    <row r="830" spans="1:9" ht="242.25" x14ac:dyDescent="0.25">
      <c r="A830" s="34" t="s">
        <v>930</v>
      </c>
      <c r="B830" s="31" t="s">
        <v>929</v>
      </c>
      <c r="C830" s="31" t="s">
        <v>258</v>
      </c>
      <c r="D830" s="31" t="s">
        <v>1553</v>
      </c>
      <c r="E830" s="31">
        <v>35</v>
      </c>
      <c r="F830" s="31">
        <v>36</v>
      </c>
      <c r="G830" s="9">
        <v>0</v>
      </c>
      <c r="H830" s="7" t="s">
        <v>1199</v>
      </c>
      <c r="I830" s="7" t="s">
        <v>1438</v>
      </c>
    </row>
    <row r="831" spans="1:9" ht="344.25" x14ac:dyDescent="0.25">
      <c r="A831" s="34" t="s">
        <v>930</v>
      </c>
      <c r="B831" s="31" t="s">
        <v>929</v>
      </c>
      <c r="C831" s="31" t="s">
        <v>737</v>
      </c>
      <c r="D831" s="31" t="s">
        <v>1553</v>
      </c>
      <c r="E831" s="31">
        <v>33</v>
      </c>
      <c r="F831" s="31">
        <v>35</v>
      </c>
      <c r="G831" s="9">
        <v>0</v>
      </c>
      <c r="H831" s="7" t="s">
        <v>1190</v>
      </c>
      <c r="I831" s="7" t="s">
        <v>1438</v>
      </c>
    </row>
    <row r="832" spans="1:9" ht="344.25" x14ac:dyDescent="0.25">
      <c r="A832" s="34" t="s">
        <v>930</v>
      </c>
      <c r="B832" s="31" t="s">
        <v>929</v>
      </c>
      <c r="C832" s="31" t="s">
        <v>795</v>
      </c>
      <c r="D832" s="31" t="s">
        <v>1553</v>
      </c>
      <c r="E832" s="31">
        <v>18</v>
      </c>
      <c r="F832" s="31">
        <v>20</v>
      </c>
      <c r="G832" s="9">
        <v>0</v>
      </c>
      <c r="H832" s="7" t="s">
        <v>1171</v>
      </c>
      <c r="I832" s="7" t="s">
        <v>1438</v>
      </c>
    </row>
    <row r="833" spans="1:9" ht="191.25" x14ac:dyDescent="0.25">
      <c r="A833" s="34" t="s">
        <v>930</v>
      </c>
      <c r="B833" s="31" t="s">
        <v>929</v>
      </c>
      <c r="C833" s="31" t="s">
        <v>795</v>
      </c>
      <c r="D833" s="31" t="s">
        <v>1553</v>
      </c>
      <c r="E833" s="31">
        <v>24</v>
      </c>
      <c r="F833" s="31">
        <v>25</v>
      </c>
      <c r="G833" s="9">
        <v>0</v>
      </c>
      <c r="H833" s="7" t="s">
        <v>1168</v>
      </c>
      <c r="I833" s="7" t="s">
        <v>1438</v>
      </c>
    </row>
    <row r="834" spans="1:9" ht="204" x14ac:dyDescent="0.25">
      <c r="A834" s="34" t="s">
        <v>930</v>
      </c>
      <c r="B834" s="31" t="s">
        <v>929</v>
      </c>
      <c r="C834" s="31" t="s">
        <v>795</v>
      </c>
      <c r="D834" s="31" t="s">
        <v>1553</v>
      </c>
      <c r="E834" s="31">
        <v>27</v>
      </c>
      <c r="F834" s="31">
        <v>27</v>
      </c>
      <c r="G834" s="9">
        <v>0</v>
      </c>
      <c r="H834" s="7" t="s">
        <v>1167</v>
      </c>
      <c r="I834" s="7" t="s">
        <v>1438</v>
      </c>
    </row>
    <row r="835" spans="1:9" ht="191.25" x14ac:dyDescent="0.25">
      <c r="A835" s="34" t="s">
        <v>930</v>
      </c>
      <c r="B835" s="31" t="s">
        <v>929</v>
      </c>
      <c r="C835" s="31" t="s">
        <v>57</v>
      </c>
      <c r="D835" s="31" t="s">
        <v>1553</v>
      </c>
      <c r="E835" s="31">
        <v>23</v>
      </c>
      <c r="F835" s="31">
        <v>24</v>
      </c>
      <c r="G835" s="9">
        <v>0</v>
      </c>
      <c r="H835" s="7" t="s">
        <v>1136</v>
      </c>
      <c r="I835" s="7" t="s">
        <v>1438</v>
      </c>
    </row>
    <row r="836" spans="1:9" ht="369.75" x14ac:dyDescent="0.25">
      <c r="A836" s="34" t="s">
        <v>930</v>
      </c>
      <c r="B836" s="31" t="s">
        <v>929</v>
      </c>
      <c r="C836" s="31" t="s">
        <v>57</v>
      </c>
      <c r="D836" s="31" t="s">
        <v>1553</v>
      </c>
      <c r="E836" s="31">
        <v>39</v>
      </c>
      <c r="F836" s="31">
        <v>43</v>
      </c>
      <c r="G836" s="9">
        <v>0</v>
      </c>
      <c r="H836" s="7" t="s">
        <v>1129</v>
      </c>
      <c r="I836" s="7" t="s">
        <v>1438</v>
      </c>
    </row>
    <row r="837" spans="1:9" ht="140.25" x14ac:dyDescent="0.25">
      <c r="A837" s="34" t="s">
        <v>930</v>
      </c>
      <c r="B837" s="31" t="s">
        <v>929</v>
      </c>
      <c r="C837" s="31" t="s">
        <v>211</v>
      </c>
      <c r="D837" s="31" t="s">
        <v>1553</v>
      </c>
      <c r="E837" s="31">
        <v>43</v>
      </c>
      <c r="F837" s="31">
        <v>43</v>
      </c>
      <c r="G837" s="9">
        <v>0</v>
      </c>
      <c r="H837" s="7" t="s">
        <v>1121</v>
      </c>
      <c r="I837" s="7" t="s">
        <v>1438</v>
      </c>
    </row>
    <row r="838" spans="1:9" ht="127.5" x14ac:dyDescent="0.25">
      <c r="A838" s="34" t="s">
        <v>930</v>
      </c>
      <c r="B838" s="31" t="s">
        <v>929</v>
      </c>
      <c r="C838" s="31" t="s">
        <v>446</v>
      </c>
      <c r="D838" s="31" t="s">
        <v>1553</v>
      </c>
      <c r="E838" s="31">
        <v>27</v>
      </c>
      <c r="F838" s="31">
        <v>27</v>
      </c>
      <c r="G838" s="9">
        <v>0</v>
      </c>
      <c r="H838" s="7" t="s">
        <v>1109</v>
      </c>
      <c r="I838" s="7" t="s">
        <v>1438</v>
      </c>
    </row>
    <row r="839" spans="1:9" ht="204" x14ac:dyDescent="0.25">
      <c r="A839" s="34" t="s">
        <v>930</v>
      </c>
      <c r="B839" s="31" t="s">
        <v>929</v>
      </c>
      <c r="C839" s="31" t="s">
        <v>754</v>
      </c>
      <c r="D839" s="31" t="s">
        <v>1553</v>
      </c>
      <c r="E839" s="31">
        <v>31</v>
      </c>
      <c r="F839" s="31">
        <v>31</v>
      </c>
      <c r="G839" s="9">
        <v>0</v>
      </c>
      <c r="H839" s="7" t="s">
        <v>1103</v>
      </c>
      <c r="I839" s="7" t="s">
        <v>1438</v>
      </c>
    </row>
    <row r="840" spans="1:9" ht="153" x14ac:dyDescent="0.25">
      <c r="A840" s="34" t="s">
        <v>930</v>
      </c>
      <c r="B840" s="31" t="s">
        <v>929</v>
      </c>
      <c r="C840" s="31" t="s">
        <v>246</v>
      </c>
      <c r="D840" s="31" t="s">
        <v>1553</v>
      </c>
      <c r="E840" s="31">
        <v>37</v>
      </c>
      <c r="F840" s="31">
        <v>38</v>
      </c>
      <c r="G840" s="9">
        <v>0</v>
      </c>
      <c r="H840" s="7" t="s">
        <v>1095</v>
      </c>
      <c r="I840" s="7" t="s">
        <v>1438</v>
      </c>
    </row>
    <row r="841" spans="1:9" ht="89.25" x14ac:dyDescent="0.25">
      <c r="A841" s="34" t="s">
        <v>930</v>
      </c>
      <c r="B841" s="31" t="s">
        <v>929</v>
      </c>
      <c r="C841" s="31" t="s">
        <v>522</v>
      </c>
      <c r="D841" s="31" t="s">
        <v>1553</v>
      </c>
      <c r="E841" s="31">
        <v>30</v>
      </c>
      <c r="F841" s="31">
        <v>30</v>
      </c>
      <c r="G841" s="9">
        <v>0</v>
      </c>
      <c r="H841" s="7" t="s">
        <v>1092</v>
      </c>
      <c r="I841" s="7" t="s">
        <v>1438</v>
      </c>
    </row>
    <row r="842" spans="1:9" ht="114.75" x14ac:dyDescent="0.25">
      <c r="A842" s="34" t="s">
        <v>930</v>
      </c>
      <c r="B842" s="31" t="s">
        <v>929</v>
      </c>
      <c r="C842" s="31" t="s">
        <v>234</v>
      </c>
      <c r="D842" s="31" t="s">
        <v>1553</v>
      </c>
      <c r="E842" s="31">
        <v>27</v>
      </c>
      <c r="F842" s="31">
        <v>27</v>
      </c>
      <c r="G842" s="9">
        <v>0</v>
      </c>
      <c r="H842" s="7" t="s">
        <v>1078</v>
      </c>
      <c r="I842" s="7" t="s">
        <v>1438</v>
      </c>
    </row>
    <row r="843" spans="1:9" ht="216.75" x14ac:dyDescent="0.25">
      <c r="A843" s="34" t="s">
        <v>930</v>
      </c>
      <c r="B843" s="31" t="s">
        <v>929</v>
      </c>
      <c r="C843" s="31" t="s">
        <v>234</v>
      </c>
      <c r="D843" s="31" t="s">
        <v>1553</v>
      </c>
      <c r="E843" s="31">
        <v>31</v>
      </c>
      <c r="F843" s="31">
        <v>31</v>
      </c>
      <c r="G843" s="9">
        <v>0</v>
      </c>
      <c r="H843" s="7" t="s">
        <v>1076</v>
      </c>
      <c r="I843" s="7" t="s">
        <v>1438</v>
      </c>
    </row>
    <row r="844" spans="1:9" ht="76.5" x14ac:dyDescent="0.25">
      <c r="A844" s="34" t="s">
        <v>930</v>
      </c>
      <c r="B844" s="31" t="s">
        <v>929</v>
      </c>
      <c r="C844" s="31" t="s">
        <v>616</v>
      </c>
      <c r="D844" s="31" t="s">
        <v>1553</v>
      </c>
      <c r="E844" s="31">
        <v>6</v>
      </c>
      <c r="F844" s="31">
        <v>6</v>
      </c>
      <c r="G844" s="9">
        <v>0</v>
      </c>
      <c r="H844" s="7" t="s">
        <v>1074</v>
      </c>
      <c r="I844" s="7" t="s">
        <v>1438</v>
      </c>
    </row>
    <row r="845" spans="1:9" ht="63.75" x14ac:dyDescent="0.25">
      <c r="A845" s="34" t="s">
        <v>930</v>
      </c>
      <c r="B845" s="31" t="s">
        <v>929</v>
      </c>
      <c r="C845" s="31" t="s">
        <v>616</v>
      </c>
      <c r="D845" s="31" t="s">
        <v>1553</v>
      </c>
      <c r="E845" s="31">
        <v>35</v>
      </c>
      <c r="F845" s="31">
        <v>35</v>
      </c>
      <c r="G845" s="9">
        <v>0</v>
      </c>
      <c r="H845" s="7" t="s">
        <v>1066</v>
      </c>
      <c r="I845" s="7" t="s">
        <v>1438</v>
      </c>
    </row>
    <row r="846" spans="1:9" ht="114.75" x14ac:dyDescent="0.25">
      <c r="A846" s="34" t="s">
        <v>930</v>
      </c>
      <c r="B846" s="31" t="s">
        <v>929</v>
      </c>
      <c r="C846" s="31" t="s">
        <v>716</v>
      </c>
      <c r="D846" s="31" t="s">
        <v>1553</v>
      </c>
      <c r="E846" s="31">
        <v>33</v>
      </c>
      <c r="F846" s="31">
        <v>34</v>
      </c>
      <c r="G846" s="9">
        <v>0</v>
      </c>
      <c r="H846" s="7" t="s">
        <v>1047</v>
      </c>
      <c r="I846" s="7" t="s">
        <v>1438</v>
      </c>
    </row>
    <row r="847" spans="1:9" ht="153" x14ac:dyDescent="0.25">
      <c r="A847" s="34" t="s">
        <v>930</v>
      </c>
      <c r="B847" s="31" t="s">
        <v>929</v>
      </c>
      <c r="C847" s="31" t="s">
        <v>199</v>
      </c>
      <c r="D847" s="31" t="s">
        <v>1553</v>
      </c>
      <c r="E847" s="31">
        <v>35</v>
      </c>
      <c r="F847" s="31">
        <v>35</v>
      </c>
      <c r="G847" s="9">
        <v>0</v>
      </c>
      <c r="H847" s="7" t="s">
        <v>1016</v>
      </c>
      <c r="I847" s="7" t="s">
        <v>1438</v>
      </c>
    </row>
    <row r="848" spans="1:9" ht="114.75" x14ac:dyDescent="0.25">
      <c r="A848" s="34" t="s">
        <v>930</v>
      </c>
      <c r="B848" s="31" t="s">
        <v>929</v>
      </c>
      <c r="C848" s="31" t="s">
        <v>224</v>
      </c>
      <c r="D848" s="31" t="s">
        <v>1553</v>
      </c>
      <c r="E848" s="31">
        <v>18</v>
      </c>
      <c r="F848" s="31">
        <v>18</v>
      </c>
      <c r="G848" s="9">
        <v>0</v>
      </c>
      <c r="H848" s="7" t="s">
        <v>1008</v>
      </c>
      <c r="I848" s="7" t="s">
        <v>1438</v>
      </c>
    </row>
    <row r="849" spans="1:9" ht="51" x14ac:dyDescent="0.25">
      <c r="A849" s="34" t="s">
        <v>930</v>
      </c>
      <c r="B849" s="31" t="s">
        <v>929</v>
      </c>
      <c r="C849" s="31" t="s">
        <v>224</v>
      </c>
      <c r="D849" s="31" t="s">
        <v>1553</v>
      </c>
      <c r="E849" s="31">
        <v>23</v>
      </c>
      <c r="F849" s="31">
        <v>23</v>
      </c>
      <c r="G849" s="9">
        <v>0</v>
      </c>
      <c r="H849" s="7" t="s">
        <v>1003</v>
      </c>
      <c r="I849" s="7" t="s">
        <v>1438</v>
      </c>
    </row>
    <row r="850" spans="1:9" ht="178.5" x14ac:dyDescent="0.25">
      <c r="A850" s="34" t="s">
        <v>930</v>
      </c>
      <c r="B850" s="31" t="s">
        <v>929</v>
      </c>
      <c r="C850" s="31" t="s">
        <v>454</v>
      </c>
      <c r="D850" s="31" t="s">
        <v>1553</v>
      </c>
      <c r="E850" s="31">
        <v>38</v>
      </c>
      <c r="F850" s="31">
        <v>38</v>
      </c>
      <c r="G850" s="9">
        <v>0</v>
      </c>
      <c r="H850" s="7" t="s">
        <v>995</v>
      </c>
      <c r="I850" s="7" t="s">
        <v>1438</v>
      </c>
    </row>
    <row r="851" spans="1:9" ht="242.25" x14ac:dyDescent="0.25">
      <c r="A851" s="34" t="s">
        <v>930</v>
      </c>
      <c r="B851" s="31" t="s">
        <v>929</v>
      </c>
      <c r="C851" s="31" t="s">
        <v>143</v>
      </c>
      <c r="D851" s="31" t="s">
        <v>1553</v>
      </c>
      <c r="E851" s="31">
        <v>32</v>
      </c>
      <c r="F851" s="31">
        <v>32</v>
      </c>
      <c r="G851" s="9">
        <v>0</v>
      </c>
      <c r="H851" s="7" t="s">
        <v>988</v>
      </c>
      <c r="I851" s="7" t="s">
        <v>1438</v>
      </c>
    </row>
    <row r="852" spans="1:9" ht="242.25" x14ac:dyDescent="0.25">
      <c r="A852" s="34" t="s">
        <v>930</v>
      </c>
      <c r="B852" s="31" t="s">
        <v>929</v>
      </c>
      <c r="C852" s="31" t="s">
        <v>664</v>
      </c>
      <c r="D852" s="31" t="s">
        <v>1553</v>
      </c>
      <c r="E852" s="31">
        <v>25</v>
      </c>
      <c r="F852" s="31">
        <v>25</v>
      </c>
      <c r="G852" s="9">
        <v>0</v>
      </c>
      <c r="H852" s="7" t="s">
        <v>984</v>
      </c>
      <c r="I852" s="7" t="s">
        <v>1438</v>
      </c>
    </row>
    <row r="853" spans="1:9" ht="114.75" x14ac:dyDescent="0.25">
      <c r="A853" s="34" t="s">
        <v>930</v>
      </c>
      <c r="B853" s="31" t="s">
        <v>929</v>
      </c>
      <c r="C853" s="31" t="s">
        <v>295</v>
      </c>
      <c r="D853" s="31" t="s">
        <v>1553</v>
      </c>
      <c r="E853" s="31">
        <v>9</v>
      </c>
      <c r="F853" s="31">
        <v>9</v>
      </c>
      <c r="G853" s="9">
        <v>0</v>
      </c>
      <c r="H853" s="7" t="s">
        <v>981</v>
      </c>
      <c r="I853" s="7" t="s">
        <v>1438</v>
      </c>
    </row>
    <row r="854" spans="1:9" ht="318.75" x14ac:dyDescent="0.25">
      <c r="A854" s="34" t="s">
        <v>930</v>
      </c>
      <c r="B854" s="31" t="s">
        <v>929</v>
      </c>
      <c r="C854" s="31" t="s">
        <v>295</v>
      </c>
      <c r="D854" s="31" t="s">
        <v>1553</v>
      </c>
      <c r="E854" s="31">
        <v>28</v>
      </c>
      <c r="F854" s="31">
        <v>29</v>
      </c>
      <c r="G854" s="9">
        <v>0</v>
      </c>
      <c r="H854" s="7" t="s">
        <v>976</v>
      </c>
      <c r="I854" s="7" t="s">
        <v>1438</v>
      </c>
    </row>
    <row r="855" spans="1:9" ht="102" x14ac:dyDescent="0.25">
      <c r="A855" s="34" t="s">
        <v>930</v>
      </c>
      <c r="B855" s="31" t="s">
        <v>929</v>
      </c>
      <c r="C855" s="31" t="s">
        <v>465</v>
      </c>
      <c r="D855" s="31" t="s">
        <v>1553</v>
      </c>
      <c r="E855" s="31">
        <v>29</v>
      </c>
      <c r="F855" s="31">
        <v>29</v>
      </c>
      <c r="G855" s="9">
        <v>0</v>
      </c>
      <c r="H855" s="7" t="s">
        <v>964</v>
      </c>
      <c r="I855" s="7" t="s">
        <v>1438</v>
      </c>
    </row>
    <row r="856" spans="1:9" ht="216.75" x14ac:dyDescent="0.25">
      <c r="A856" s="34" t="s">
        <v>930</v>
      </c>
      <c r="B856" s="31" t="s">
        <v>929</v>
      </c>
      <c r="C856" s="31" t="s">
        <v>465</v>
      </c>
      <c r="D856" s="31" t="s">
        <v>1553</v>
      </c>
      <c r="E856" s="31">
        <v>39</v>
      </c>
      <c r="F856" s="31">
        <v>39</v>
      </c>
      <c r="G856" s="9">
        <v>0</v>
      </c>
      <c r="H856" s="7" t="s">
        <v>962</v>
      </c>
      <c r="I856" s="7" t="s">
        <v>1438</v>
      </c>
    </row>
    <row r="857" spans="1:9" ht="229.5" x14ac:dyDescent="0.25">
      <c r="A857" s="34" t="s">
        <v>930</v>
      </c>
      <c r="B857" s="31" t="s">
        <v>929</v>
      </c>
      <c r="C857" s="31" t="s">
        <v>465</v>
      </c>
      <c r="D857" s="31" t="s">
        <v>1553</v>
      </c>
      <c r="E857" s="31">
        <v>41</v>
      </c>
      <c r="F857" s="31">
        <v>41</v>
      </c>
      <c r="G857" s="9">
        <v>0</v>
      </c>
      <c r="H857" s="7" t="s">
        <v>961</v>
      </c>
      <c r="I857" s="7" t="s">
        <v>1438</v>
      </c>
    </row>
    <row r="858" spans="1:9" ht="127.5" x14ac:dyDescent="0.25">
      <c r="A858" s="34" t="s">
        <v>930</v>
      </c>
      <c r="B858" s="31" t="s">
        <v>929</v>
      </c>
      <c r="C858" s="31" t="s">
        <v>374</v>
      </c>
      <c r="D858" s="31" t="s">
        <v>1553</v>
      </c>
      <c r="E858" s="31">
        <v>19</v>
      </c>
      <c r="F858" s="31">
        <v>19</v>
      </c>
      <c r="G858" s="9">
        <v>0</v>
      </c>
      <c r="H858" s="7" t="s">
        <v>942</v>
      </c>
      <c r="I858" s="7" t="s">
        <v>1438</v>
      </c>
    </row>
    <row r="859" spans="1:9" ht="191.25" x14ac:dyDescent="0.25">
      <c r="A859" s="34" t="s">
        <v>930</v>
      </c>
      <c r="B859" s="31" t="s">
        <v>929</v>
      </c>
      <c r="C859" s="31" t="s">
        <v>374</v>
      </c>
      <c r="D859" s="31" t="s">
        <v>1553</v>
      </c>
      <c r="E859" s="31">
        <v>31</v>
      </c>
      <c r="F859" s="31">
        <v>32</v>
      </c>
      <c r="G859" s="9">
        <v>0</v>
      </c>
      <c r="H859" s="7" t="s">
        <v>940</v>
      </c>
      <c r="I859" s="7" t="s">
        <v>1438</v>
      </c>
    </row>
    <row r="860" spans="1:9" ht="76.5" x14ac:dyDescent="0.25">
      <c r="A860" s="34" t="s">
        <v>930</v>
      </c>
      <c r="B860" s="31" t="s">
        <v>929</v>
      </c>
      <c r="C860" s="31" t="s">
        <v>351</v>
      </c>
      <c r="D860" s="31" t="s">
        <v>1554</v>
      </c>
      <c r="E860" s="31">
        <v>16</v>
      </c>
      <c r="F860" s="31">
        <v>16</v>
      </c>
      <c r="G860" s="9">
        <v>0</v>
      </c>
      <c r="H860" s="7" t="s">
        <v>1424</v>
      </c>
      <c r="I860" s="7" t="s">
        <v>1438</v>
      </c>
    </row>
    <row r="861" spans="1:9" ht="267.75" x14ac:dyDescent="0.25">
      <c r="A861" s="34" t="s">
        <v>930</v>
      </c>
      <c r="B861" s="31" t="s">
        <v>929</v>
      </c>
      <c r="C861" s="31" t="s">
        <v>351</v>
      </c>
      <c r="D861" s="31" t="s">
        <v>1554</v>
      </c>
      <c r="E861" s="31">
        <v>38</v>
      </c>
      <c r="F861" s="31">
        <v>41</v>
      </c>
      <c r="G861" s="9">
        <v>0</v>
      </c>
      <c r="H861" s="7" t="s">
        <v>1419</v>
      </c>
      <c r="I861" s="7" t="s">
        <v>1438</v>
      </c>
    </row>
    <row r="862" spans="1:9" ht="255" x14ac:dyDescent="0.25">
      <c r="A862" s="34" t="s">
        <v>930</v>
      </c>
      <c r="B862" s="31" t="s">
        <v>929</v>
      </c>
      <c r="C862" s="31" t="s">
        <v>918</v>
      </c>
      <c r="D862" s="31" t="s">
        <v>1554</v>
      </c>
      <c r="E862" s="31">
        <v>21</v>
      </c>
      <c r="F862" s="31">
        <v>22</v>
      </c>
      <c r="G862" s="9">
        <v>0</v>
      </c>
      <c r="H862" s="7" t="s">
        <v>1409</v>
      </c>
      <c r="I862" s="7" t="s">
        <v>1438</v>
      </c>
    </row>
    <row r="863" spans="1:9" ht="178.5" x14ac:dyDescent="0.25">
      <c r="A863" s="34" t="s">
        <v>930</v>
      </c>
      <c r="B863" s="31" t="s">
        <v>929</v>
      </c>
      <c r="C863" s="31" t="s">
        <v>918</v>
      </c>
      <c r="D863" s="31" t="s">
        <v>1554</v>
      </c>
      <c r="E863" s="31">
        <v>25</v>
      </c>
      <c r="F863" s="31">
        <v>25</v>
      </c>
      <c r="G863" s="9">
        <v>0</v>
      </c>
      <c r="H863" s="7" t="s">
        <v>1407</v>
      </c>
      <c r="I863" s="7" t="s">
        <v>1438</v>
      </c>
    </row>
    <row r="864" spans="1:9" ht="76.5" x14ac:dyDescent="0.25">
      <c r="A864" s="34" t="s">
        <v>930</v>
      </c>
      <c r="B864" s="31" t="s">
        <v>929</v>
      </c>
      <c r="C864" s="31" t="s">
        <v>21</v>
      </c>
      <c r="D864" s="31" t="s">
        <v>1554</v>
      </c>
      <c r="E864" s="31">
        <v>37</v>
      </c>
      <c r="F864" s="31">
        <v>37</v>
      </c>
      <c r="G864" s="9">
        <v>0</v>
      </c>
      <c r="H864" s="7" t="s">
        <v>1387</v>
      </c>
      <c r="I864" s="7" t="s">
        <v>1438</v>
      </c>
    </row>
    <row r="865" spans="1:9" ht="127.5" x14ac:dyDescent="0.25">
      <c r="A865" s="34" t="s">
        <v>930</v>
      </c>
      <c r="B865" s="31" t="s">
        <v>929</v>
      </c>
      <c r="C865" s="31" t="s">
        <v>1667</v>
      </c>
      <c r="D865" s="31" t="s">
        <v>1554</v>
      </c>
      <c r="E865" s="31">
        <v>19</v>
      </c>
      <c r="F865" s="31">
        <v>19</v>
      </c>
      <c r="G865" s="9">
        <v>0</v>
      </c>
      <c r="H865" s="7" t="s">
        <v>1380</v>
      </c>
      <c r="I865" s="7" t="s">
        <v>1438</v>
      </c>
    </row>
    <row r="866" spans="1:9" ht="89.25" x14ac:dyDescent="0.25">
      <c r="A866" s="34" t="s">
        <v>930</v>
      </c>
      <c r="B866" s="31" t="s">
        <v>929</v>
      </c>
      <c r="C866" s="31" t="s">
        <v>500</v>
      </c>
      <c r="D866" s="31" t="s">
        <v>1554</v>
      </c>
      <c r="E866" s="31">
        <v>31</v>
      </c>
      <c r="F866" s="31">
        <v>31</v>
      </c>
      <c r="G866" s="9">
        <v>0</v>
      </c>
      <c r="H866" s="7" t="s">
        <v>1372</v>
      </c>
      <c r="I866" s="7" t="s">
        <v>1438</v>
      </c>
    </row>
    <row r="867" spans="1:9" ht="280.5" x14ac:dyDescent="0.25">
      <c r="A867" s="34" t="s">
        <v>930</v>
      </c>
      <c r="B867" s="31" t="s">
        <v>929</v>
      </c>
      <c r="C867" s="31" t="s">
        <v>433</v>
      </c>
      <c r="D867" s="31" t="s">
        <v>1554</v>
      </c>
      <c r="E867" s="31">
        <v>37</v>
      </c>
      <c r="F867" s="31">
        <v>40</v>
      </c>
      <c r="G867" s="9">
        <v>0</v>
      </c>
      <c r="H867" s="7" t="s">
        <v>1343</v>
      </c>
      <c r="I867" s="7" t="s">
        <v>1438</v>
      </c>
    </row>
    <row r="868" spans="1:9" ht="51" x14ac:dyDescent="0.25">
      <c r="A868" s="34" t="s">
        <v>930</v>
      </c>
      <c r="B868" s="31" t="s">
        <v>929</v>
      </c>
      <c r="C868" s="31" t="s">
        <v>411</v>
      </c>
      <c r="D868" s="31" t="s">
        <v>1554</v>
      </c>
      <c r="E868" s="31">
        <v>5</v>
      </c>
      <c r="F868" s="31">
        <v>5</v>
      </c>
      <c r="G868" s="9">
        <v>0</v>
      </c>
      <c r="H868" s="7" t="s">
        <v>1333</v>
      </c>
      <c r="I868" s="7" t="s">
        <v>1438</v>
      </c>
    </row>
    <row r="869" spans="1:9" ht="102" x14ac:dyDescent="0.25">
      <c r="A869" s="34" t="s">
        <v>930</v>
      </c>
      <c r="B869" s="31" t="s">
        <v>929</v>
      </c>
      <c r="C869" s="31" t="s">
        <v>685</v>
      </c>
      <c r="D869" s="31" t="s">
        <v>1554</v>
      </c>
      <c r="E869" s="31">
        <v>24</v>
      </c>
      <c r="F869" s="31">
        <v>24</v>
      </c>
      <c r="G869" s="9">
        <v>0</v>
      </c>
      <c r="H869" s="7" t="s">
        <v>1505</v>
      </c>
      <c r="I869" s="7" t="s">
        <v>1438</v>
      </c>
    </row>
    <row r="870" spans="1:9" ht="89.25" x14ac:dyDescent="0.25">
      <c r="A870" s="34" t="s">
        <v>930</v>
      </c>
      <c r="B870" s="31" t="s">
        <v>929</v>
      </c>
      <c r="C870" s="31" t="s">
        <v>474</v>
      </c>
      <c r="D870" s="31" t="s">
        <v>1554</v>
      </c>
      <c r="E870" s="31">
        <v>8</v>
      </c>
      <c r="F870" s="31">
        <v>8</v>
      </c>
      <c r="G870" s="9">
        <v>0</v>
      </c>
      <c r="H870" s="7" t="s">
        <v>1308</v>
      </c>
      <c r="I870" s="7" t="s">
        <v>1438</v>
      </c>
    </row>
    <row r="871" spans="1:9" ht="127.5" x14ac:dyDescent="0.25">
      <c r="A871" s="34" t="s">
        <v>930</v>
      </c>
      <c r="B871" s="31" t="s">
        <v>929</v>
      </c>
      <c r="C871" s="31" t="s">
        <v>474</v>
      </c>
      <c r="D871" s="31" t="s">
        <v>1554</v>
      </c>
      <c r="E871" s="31">
        <v>39</v>
      </c>
      <c r="F871" s="31">
        <v>39</v>
      </c>
      <c r="G871" s="9">
        <v>0</v>
      </c>
      <c r="H871" s="7" t="s">
        <v>1299</v>
      </c>
      <c r="I871" s="7" t="s">
        <v>1438</v>
      </c>
    </row>
    <row r="872" spans="1:9" ht="89.25" x14ac:dyDescent="0.25">
      <c r="A872" s="34" t="s">
        <v>930</v>
      </c>
      <c r="B872" s="31" t="s">
        <v>929</v>
      </c>
      <c r="C872" s="31" t="s">
        <v>281</v>
      </c>
      <c r="D872" s="31" t="s">
        <v>1554</v>
      </c>
      <c r="E872" s="31">
        <v>16</v>
      </c>
      <c r="F872" s="31">
        <v>16</v>
      </c>
      <c r="G872" s="9">
        <v>0</v>
      </c>
      <c r="H872" s="7" t="s">
        <v>1281</v>
      </c>
      <c r="I872" s="7" t="s">
        <v>1438</v>
      </c>
    </row>
    <row r="873" spans="1:9" ht="114.75" x14ac:dyDescent="0.25">
      <c r="A873" s="34" t="s">
        <v>930</v>
      </c>
      <c r="B873" s="31" t="s">
        <v>929</v>
      </c>
      <c r="C873" s="31" t="s">
        <v>281</v>
      </c>
      <c r="D873" s="31" t="s">
        <v>1554</v>
      </c>
      <c r="E873" s="31">
        <v>17</v>
      </c>
      <c r="F873" s="31">
        <v>17</v>
      </c>
      <c r="G873" s="9">
        <v>0</v>
      </c>
      <c r="H873" s="7" t="s">
        <v>1280</v>
      </c>
      <c r="I873" s="7" t="s">
        <v>1438</v>
      </c>
    </row>
    <row r="874" spans="1:9" ht="63.75" x14ac:dyDescent="0.25">
      <c r="A874" s="34" t="s">
        <v>930</v>
      </c>
      <c r="B874" s="31" t="s">
        <v>929</v>
      </c>
      <c r="C874" s="31" t="s">
        <v>281</v>
      </c>
      <c r="D874" s="31" t="s">
        <v>1554</v>
      </c>
      <c r="E874" s="31">
        <v>28</v>
      </c>
      <c r="F874" s="31">
        <v>28</v>
      </c>
      <c r="G874" s="9">
        <v>0</v>
      </c>
      <c r="H874" s="7" t="s">
        <v>1276</v>
      </c>
      <c r="I874" s="7" t="s">
        <v>1438</v>
      </c>
    </row>
    <row r="875" spans="1:9" ht="51" x14ac:dyDescent="0.25">
      <c r="A875" s="34" t="s">
        <v>930</v>
      </c>
      <c r="B875" s="31" t="s">
        <v>929</v>
      </c>
      <c r="C875" s="31" t="s">
        <v>281</v>
      </c>
      <c r="D875" s="31" t="s">
        <v>1554</v>
      </c>
      <c r="E875" s="31">
        <v>28</v>
      </c>
      <c r="F875" s="31">
        <v>28</v>
      </c>
      <c r="G875" s="9">
        <v>0</v>
      </c>
      <c r="H875" s="7" t="s">
        <v>1275</v>
      </c>
      <c r="I875" s="7" t="s">
        <v>1438</v>
      </c>
    </row>
    <row r="876" spans="1:9" ht="293.25" x14ac:dyDescent="0.25">
      <c r="A876" s="34" t="s">
        <v>930</v>
      </c>
      <c r="B876" s="31" t="s">
        <v>929</v>
      </c>
      <c r="C876" s="31" t="s">
        <v>744</v>
      </c>
      <c r="D876" s="31" t="s">
        <v>1554</v>
      </c>
      <c r="E876" s="31">
        <v>24</v>
      </c>
      <c r="F876" s="31">
        <v>26</v>
      </c>
      <c r="G876" s="9">
        <v>0</v>
      </c>
      <c r="H876" s="7" t="s">
        <v>1256</v>
      </c>
      <c r="I876" s="7" t="s">
        <v>1438</v>
      </c>
    </row>
    <row r="877" spans="1:9" ht="306" x14ac:dyDescent="0.25">
      <c r="A877" s="34" t="s">
        <v>930</v>
      </c>
      <c r="B877" s="31" t="s">
        <v>929</v>
      </c>
      <c r="C877" s="31" t="s">
        <v>744</v>
      </c>
      <c r="D877" s="31" t="s">
        <v>1554</v>
      </c>
      <c r="E877" s="31">
        <v>33</v>
      </c>
      <c r="F877" s="31">
        <v>37</v>
      </c>
      <c r="G877" s="9">
        <v>0</v>
      </c>
      <c r="H877" s="7" t="s">
        <v>1255</v>
      </c>
      <c r="I877" s="7" t="s">
        <v>1438</v>
      </c>
    </row>
    <row r="878" spans="1:9" ht="409.5" x14ac:dyDescent="0.25">
      <c r="A878" s="34" t="s">
        <v>930</v>
      </c>
      <c r="B878" s="31" t="s">
        <v>929</v>
      </c>
      <c r="C878" s="31" t="s">
        <v>446</v>
      </c>
      <c r="D878" s="31" t="s">
        <v>1554</v>
      </c>
      <c r="E878" s="31">
        <v>16</v>
      </c>
      <c r="F878" s="31">
        <v>19</v>
      </c>
      <c r="G878" s="9">
        <v>0</v>
      </c>
      <c r="H878" s="7" t="s">
        <v>1510</v>
      </c>
      <c r="I878" s="7" t="s">
        <v>1438</v>
      </c>
    </row>
    <row r="879" spans="1:9" ht="102" x14ac:dyDescent="0.25">
      <c r="A879" s="34" t="s">
        <v>930</v>
      </c>
      <c r="B879" s="31" t="s">
        <v>929</v>
      </c>
      <c r="C879" s="31" t="s">
        <v>234</v>
      </c>
      <c r="D879" s="31" t="s">
        <v>1554</v>
      </c>
      <c r="E879" s="31">
        <v>7</v>
      </c>
      <c r="F879" s="31">
        <v>7</v>
      </c>
      <c r="G879" s="9">
        <v>0</v>
      </c>
      <c r="H879" s="7" t="s">
        <v>1084</v>
      </c>
      <c r="I879" s="7" t="s">
        <v>1438</v>
      </c>
    </row>
    <row r="880" spans="1:9" ht="204" x14ac:dyDescent="0.25">
      <c r="A880" s="34" t="s">
        <v>930</v>
      </c>
      <c r="B880" s="31" t="s">
        <v>929</v>
      </c>
      <c r="C880" s="31" t="s">
        <v>616</v>
      </c>
      <c r="D880" s="31" t="s">
        <v>1554</v>
      </c>
      <c r="E880" s="31">
        <v>30</v>
      </c>
      <c r="F880" s="31">
        <v>30</v>
      </c>
      <c r="G880" s="9">
        <v>0</v>
      </c>
      <c r="H880" s="7" t="s">
        <v>1069</v>
      </c>
      <c r="I880" s="7" t="s">
        <v>1438</v>
      </c>
    </row>
    <row r="881" spans="1:9" ht="51" x14ac:dyDescent="0.25">
      <c r="A881" s="34" t="s">
        <v>930</v>
      </c>
      <c r="B881" s="31" t="s">
        <v>929</v>
      </c>
      <c r="C881" s="31" t="s">
        <v>351</v>
      </c>
      <c r="D881" s="31" t="s">
        <v>1555</v>
      </c>
      <c r="E881" s="31">
        <v>24</v>
      </c>
      <c r="F881" s="31">
        <v>24</v>
      </c>
      <c r="G881" s="9">
        <v>0</v>
      </c>
      <c r="H881" s="7" t="s">
        <v>1422</v>
      </c>
      <c r="I881" s="7" t="s">
        <v>1438</v>
      </c>
    </row>
    <row r="882" spans="1:9" ht="140.25" x14ac:dyDescent="0.25">
      <c r="A882" s="34" t="s">
        <v>930</v>
      </c>
      <c r="B882" s="31" t="s">
        <v>929</v>
      </c>
      <c r="C882" s="31" t="s">
        <v>21</v>
      </c>
      <c r="D882" s="31" t="s">
        <v>1555</v>
      </c>
      <c r="E882" s="31">
        <v>7</v>
      </c>
      <c r="F882" s="31">
        <v>7</v>
      </c>
      <c r="G882" s="9">
        <v>0</v>
      </c>
      <c r="H882" s="7" t="s">
        <v>1393</v>
      </c>
      <c r="I882" s="7" t="s">
        <v>1438</v>
      </c>
    </row>
    <row r="883" spans="1:9" ht="357" x14ac:dyDescent="0.25">
      <c r="A883" s="34" t="s">
        <v>930</v>
      </c>
      <c r="B883" s="31" t="s">
        <v>929</v>
      </c>
      <c r="C883" s="31" t="s">
        <v>155</v>
      </c>
      <c r="D883" s="31" t="s">
        <v>1555</v>
      </c>
      <c r="E883" s="31">
        <v>27</v>
      </c>
      <c r="F883" s="31">
        <v>30</v>
      </c>
      <c r="G883" s="9">
        <v>0</v>
      </c>
      <c r="H883" s="7" t="s">
        <v>1383</v>
      </c>
      <c r="I883" s="7" t="s">
        <v>1438</v>
      </c>
    </row>
    <row r="884" spans="1:9" ht="216.75" x14ac:dyDescent="0.25">
      <c r="A884" s="34" t="s">
        <v>930</v>
      </c>
      <c r="B884" s="31" t="s">
        <v>929</v>
      </c>
      <c r="C884" s="31" t="s">
        <v>361</v>
      </c>
      <c r="D884" s="31" t="s">
        <v>1555</v>
      </c>
      <c r="E884" s="31">
        <v>29</v>
      </c>
      <c r="F884" s="31">
        <v>30</v>
      </c>
      <c r="G884" s="9">
        <v>0</v>
      </c>
      <c r="H884" s="7" t="s">
        <v>1359</v>
      </c>
      <c r="I884" s="7" t="s">
        <v>1438</v>
      </c>
    </row>
    <row r="885" spans="1:9" ht="140.25" x14ac:dyDescent="0.25">
      <c r="A885" s="34" t="s">
        <v>930</v>
      </c>
      <c r="B885" s="31" t="s">
        <v>929</v>
      </c>
      <c r="C885" s="31" t="s">
        <v>588</v>
      </c>
      <c r="D885" s="31" t="s">
        <v>1555</v>
      </c>
      <c r="E885" s="31">
        <v>25</v>
      </c>
      <c r="F885" s="31">
        <v>25</v>
      </c>
      <c r="G885" s="9">
        <v>0</v>
      </c>
      <c r="H885" s="7" t="s">
        <v>1354</v>
      </c>
      <c r="I885" s="7" t="s">
        <v>1438</v>
      </c>
    </row>
    <row r="886" spans="1:9" ht="140.25" x14ac:dyDescent="0.25">
      <c r="A886" s="34" t="s">
        <v>930</v>
      </c>
      <c r="B886" s="31" t="s">
        <v>929</v>
      </c>
      <c r="C886" s="31" t="s">
        <v>433</v>
      </c>
      <c r="D886" s="31" t="s">
        <v>1555</v>
      </c>
      <c r="E886" s="31">
        <v>14</v>
      </c>
      <c r="F886" s="31">
        <v>15</v>
      </c>
      <c r="G886" s="9">
        <v>0</v>
      </c>
      <c r="H886" s="7" t="s">
        <v>1347</v>
      </c>
      <c r="I886" s="7" t="s">
        <v>1438</v>
      </c>
    </row>
    <row r="887" spans="1:9" ht="76.5" x14ac:dyDescent="0.25">
      <c r="A887" s="34" t="s">
        <v>930</v>
      </c>
      <c r="B887" s="31" t="s">
        <v>929</v>
      </c>
      <c r="C887" s="31" t="s">
        <v>433</v>
      </c>
      <c r="D887" s="31" t="s">
        <v>1555</v>
      </c>
      <c r="E887" s="31">
        <v>35</v>
      </c>
      <c r="F887" s="31">
        <v>35</v>
      </c>
      <c r="G887" s="9">
        <v>0</v>
      </c>
      <c r="H887" s="7" t="s">
        <v>1345</v>
      </c>
      <c r="I887" s="7" t="s">
        <v>1438</v>
      </c>
    </row>
    <row r="888" spans="1:9" ht="102" x14ac:dyDescent="0.25">
      <c r="A888" s="34" t="s">
        <v>930</v>
      </c>
      <c r="B888" s="31" t="s">
        <v>929</v>
      </c>
      <c r="C888" s="31" t="s">
        <v>85</v>
      </c>
      <c r="D888" s="31" t="s">
        <v>1555</v>
      </c>
      <c r="E888" s="31">
        <v>20</v>
      </c>
      <c r="F888" s="31">
        <v>20</v>
      </c>
      <c r="G888" s="9">
        <v>0</v>
      </c>
      <c r="H888" s="7" t="s">
        <v>1319</v>
      </c>
      <c r="I888" s="7" t="s">
        <v>1438</v>
      </c>
    </row>
    <row r="889" spans="1:9" ht="76.5" x14ac:dyDescent="0.25">
      <c r="A889" s="34" t="s">
        <v>930</v>
      </c>
      <c r="B889" s="31" t="s">
        <v>929</v>
      </c>
      <c r="C889" s="31" t="s">
        <v>474</v>
      </c>
      <c r="D889" s="31" t="s">
        <v>1555</v>
      </c>
      <c r="E889" s="31">
        <v>31</v>
      </c>
      <c r="F889" s="31">
        <v>31</v>
      </c>
      <c r="G889" s="9">
        <v>0</v>
      </c>
      <c r="H889" s="7" t="s">
        <v>1302</v>
      </c>
      <c r="I889" s="7" t="s">
        <v>1438</v>
      </c>
    </row>
    <row r="890" spans="1:9" ht="102" x14ac:dyDescent="0.25">
      <c r="A890" s="34" t="s">
        <v>930</v>
      </c>
      <c r="B890" s="31" t="s">
        <v>929</v>
      </c>
      <c r="C890" s="31" t="s">
        <v>566</v>
      </c>
      <c r="D890" s="31" t="s">
        <v>1555</v>
      </c>
      <c r="E890" s="31">
        <v>21</v>
      </c>
      <c r="F890" s="31">
        <v>21</v>
      </c>
      <c r="G890" s="9">
        <v>0</v>
      </c>
      <c r="H890" s="7" t="s">
        <v>1295</v>
      </c>
      <c r="I890" s="7" t="s">
        <v>1438</v>
      </c>
    </row>
    <row r="891" spans="1:9" ht="89.25" x14ac:dyDescent="0.25">
      <c r="A891" s="34" t="s">
        <v>930</v>
      </c>
      <c r="B891" s="31" t="s">
        <v>929</v>
      </c>
      <c r="C891" s="31" t="s">
        <v>566</v>
      </c>
      <c r="D891" s="31" t="s">
        <v>1555</v>
      </c>
      <c r="E891" s="31">
        <v>34</v>
      </c>
      <c r="F891" s="31">
        <v>34</v>
      </c>
      <c r="G891" s="9">
        <v>0</v>
      </c>
      <c r="H891" s="7" t="s">
        <v>1292</v>
      </c>
      <c r="I891" s="7" t="s">
        <v>1438</v>
      </c>
    </row>
    <row r="892" spans="1:9" ht="76.5" x14ac:dyDescent="0.25">
      <c r="A892" s="34" t="s">
        <v>930</v>
      </c>
      <c r="B892" s="31" t="s">
        <v>929</v>
      </c>
      <c r="C892" s="31" t="s">
        <v>281</v>
      </c>
      <c r="D892" s="31" t="s">
        <v>1555</v>
      </c>
      <c r="E892" s="31">
        <v>30</v>
      </c>
      <c r="F892" s="31">
        <v>31</v>
      </c>
      <c r="G892" s="9">
        <v>0</v>
      </c>
      <c r="H892" s="7" t="s">
        <v>1506</v>
      </c>
      <c r="I892" s="7" t="s">
        <v>1438</v>
      </c>
    </row>
    <row r="893" spans="1:9" ht="140.25" x14ac:dyDescent="0.25">
      <c r="A893" s="34" t="s">
        <v>930</v>
      </c>
      <c r="B893" s="31" t="s">
        <v>929</v>
      </c>
      <c r="C893" s="31" t="s">
        <v>113</v>
      </c>
      <c r="D893" s="31" t="s">
        <v>1555</v>
      </c>
      <c r="E893" s="31">
        <v>15</v>
      </c>
      <c r="F893" s="31">
        <v>15</v>
      </c>
      <c r="G893" s="9">
        <v>0</v>
      </c>
      <c r="H893" s="7" t="s">
        <v>1507</v>
      </c>
      <c r="I893" s="7" t="s">
        <v>1438</v>
      </c>
    </row>
    <row r="894" spans="1:9" ht="204" x14ac:dyDescent="0.25">
      <c r="A894" s="34" t="s">
        <v>930</v>
      </c>
      <c r="B894" s="31" t="s">
        <v>929</v>
      </c>
      <c r="C894" s="31" t="s">
        <v>113</v>
      </c>
      <c r="D894" s="31" t="s">
        <v>1555</v>
      </c>
      <c r="E894" s="31">
        <v>22</v>
      </c>
      <c r="F894" s="31">
        <v>23</v>
      </c>
      <c r="G894" s="9">
        <v>0</v>
      </c>
      <c r="H894" s="7" t="s">
        <v>1508</v>
      </c>
      <c r="I894" s="7" t="s">
        <v>1438</v>
      </c>
    </row>
    <row r="895" spans="1:9" ht="102" x14ac:dyDescent="0.25">
      <c r="A895" s="34" t="s">
        <v>930</v>
      </c>
      <c r="B895" s="31" t="s">
        <v>929</v>
      </c>
      <c r="C895" s="31" t="s">
        <v>386</v>
      </c>
      <c r="D895" s="31" t="s">
        <v>1555</v>
      </c>
      <c r="E895" s="31">
        <v>32</v>
      </c>
      <c r="F895" s="31">
        <v>32</v>
      </c>
      <c r="G895" s="9">
        <v>0</v>
      </c>
      <c r="H895" s="7" t="s">
        <v>1259</v>
      </c>
      <c r="I895" s="7" t="s">
        <v>1438</v>
      </c>
    </row>
    <row r="896" spans="1:9" ht="255" x14ac:dyDescent="0.25">
      <c r="A896" s="34" t="s">
        <v>930</v>
      </c>
      <c r="B896" s="31" t="s">
        <v>929</v>
      </c>
      <c r="C896" s="31" t="s">
        <v>399</v>
      </c>
      <c r="D896" s="31" t="s">
        <v>1555</v>
      </c>
      <c r="E896" s="31">
        <v>5</v>
      </c>
      <c r="F896" s="31">
        <v>6</v>
      </c>
      <c r="G896" s="9">
        <v>0</v>
      </c>
      <c r="H896" s="7" t="s">
        <v>1224</v>
      </c>
      <c r="I896" s="7" t="s">
        <v>1438</v>
      </c>
    </row>
    <row r="897" spans="1:9" ht="216.75" x14ac:dyDescent="0.25">
      <c r="A897" s="34" t="s">
        <v>930</v>
      </c>
      <c r="B897" s="31" t="s">
        <v>929</v>
      </c>
      <c r="C897" s="31" t="s">
        <v>399</v>
      </c>
      <c r="D897" s="31" t="s">
        <v>1555</v>
      </c>
      <c r="E897" s="31">
        <v>23</v>
      </c>
      <c r="F897" s="31">
        <v>23</v>
      </c>
      <c r="G897" s="9">
        <v>0</v>
      </c>
      <c r="H897" s="7" t="s">
        <v>1216</v>
      </c>
      <c r="I897" s="7" t="s">
        <v>1438</v>
      </c>
    </row>
    <row r="898" spans="1:9" ht="127.5" x14ac:dyDescent="0.25">
      <c r="A898" s="34" t="s">
        <v>930</v>
      </c>
      <c r="B898" s="31" t="s">
        <v>929</v>
      </c>
      <c r="C898" s="31" t="s">
        <v>41</v>
      </c>
      <c r="D898" s="31" t="s">
        <v>1555</v>
      </c>
      <c r="E898" s="31">
        <v>8</v>
      </c>
      <c r="F898" s="31">
        <v>8</v>
      </c>
      <c r="G898" s="9">
        <v>0</v>
      </c>
      <c r="H898" s="7" t="s">
        <v>1165</v>
      </c>
      <c r="I898" s="7" t="s">
        <v>1438</v>
      </c>
    </row>
    <row r="899" spans="1:9" ht="357" x14ac:dyDescent="0.25">
      <c r="A899" s="34" t="s">
        <v>930</v>
      </c>
      <c r="B899" s="31" t="s">
        <v>929</v>
      </c>
      <c r="C899" s="31" t="s">
        <v>41</v>
      </c>
      <c r="D899" s="31" t="s">
        <v>1555</v>
      </c>
      <c r="E899" s="31">
        <v>25</v>
      </c>
      <c r="F899" s="31">
        <v>29</v>
      </c>
      <c r="G899" s="9">
        <v>0</v>
      </c>
      <c r="H899" s="7" t="s">
        <v>1160</v>
      </c>
      <c r="I899" s="7" t="s">
        <v>1438</v>
      </c>
    </row>
    <row r="900" spans="1:9" ht="344.25" x14ac:dyDescent="0.25">
      <c r="A900" s="34" t="s">
        <v>930</v>
      </c>
      <c r="B900" s="31" t="s">
        <v>929</v>
      </c>
      <c r="C900" s="31" t="s">
        <v>246</v>
      </c>
      <c r="D900" s="31" t="s">
        <v>1555</v>
      </c>
      <c r="E900" s="31">
        <v>8</v>
      </c>
      <c r="F900" s="31">
        <v>10</v>
      </c>
      <c r="G900" s="9">
        <v>0</v>
      </c>
      <c r="H900" s="7" t="s">
        <v>1100</v>
      </c>
      <c r="I900" s="7" t="s">
        <v>1438</v>
      </c>
    </row>
    <row r="901" spans="1:9" ht="255" x14ac:dyDescent="0.25">
      <c r="A901" s="34" t="s">
        <v>930</v>
      </c>
      <c r="B901" s="31" t="s">
        <v>929</v>
      </c>
      <c r="C901" s="31" t="s">
        <v>246</v>
      </c>
      <c r="D901" s="31" t="s">
        <v>1555</v>
      </c>
      <c r="E901" s="31">
        <v>31</v>
      </c>
      <c r="F901" s="31">
        <v>34</v>
      </c>
      <c r="G901" s="9">
        <v>0</v>
      </c>
      <c r="H901" s="7" t="s">
        <v>1096</v>
      </c>
      <c r="I901" s="7" t="s">
        <v>1438</v>
      </c>
    </row>
    <row r="902" spans="1:9" ht="255" x14ac:dyDescent="0.25">
      <c r="A902" s="34" t="s">
        <v>930</v>
      </c>
      <c r="B902" s="31" t="s">
        <v>929</v>
      </c>
      <c r="C902" s="31" t="s">
        <v>128</v>
      </c>
      <c r="D902" s="31" t="s">
        <v>1555</v>
      </c>
      <c r="E902" s="31">
        <v>28</v>
      </c>
      <c r="F902" s="31">
        <v>29</v>
      </c>
      <c r="G902" s="9">
        <v>0</v>
      </c>
      <c r="H902" s="7" t="s">
        <v>1063</v>
      </c>
      <c r="I902" s="7" t="s">
        <v>1438</v>
      </c>
    </row>
    <row r="903" spans="1:9" ht="229.5" x14ac:dyDescent="0.25">
      <c r="A903" s="34" t="s">
        <v>930</v>
      </c>
      <c r="B903" s="31" t="s">
        <v>929</v>
      </c>
      <c r="C903" s="31" t="s">
        <v>128</v>
      </c>
      <c r="D903" s="31" t="s">
        <v>1555</v>
      </c>
      <c r="E903" s="31">
        <v>35</v>
      </c>
      <c r="F903" s="31">
        <v>35</v>
      </c>
      <c r="G903" s="9">
        <v>0</v>
      </c>
      <c r="H903" s="7" t="s">
        <v>1061</v>
      </c>
      <c r="I903" s="7" t="s">
        <v>1438</v>
      </c>
    </row>
    <row r="904" spans="1:9" ht="127.5" x14ac:dyDescent="0.25">
      <c r="A904" s="34" t="s">
        <v>930</v>
      </c>
      <c r="B904" s="31" t="s">
        <v>929</v>
      </c>
      <c r="C904" s="31" t="s">
        <v>716</v>
      </c>
      <c r="D904" s="31" t="s">
        <v>1555</v>
      </c>
      <c r="E904" s="31">
        <v>16</v>
      </c>
      <c r="F904" s="31">
        <v>16</v>
      </c>
      <c r="G904" s="9">
        <v>0</v>
      </c>
      <c r="H904" s="7" t="s">
        <v>1053</v>
      </c>
      <c r="I904" s="7" t="s">
        <v>1438</v>
      </c>
    </row>
    <row r="905" spans="1:9" ht="63.75" x14ac:dyDescent="0.25">
      <c r="A905" s="34" t="s">
        <v>930</v>
      </c>
      <c r="B905" s="31" t="s">
        <v>929</v>
      </c>
      <c r="C905" s="31" t="s">
        <v>716</v>
      </c>
      <c r="D905" s="31" t="s">
        <v>1555</v>
      </c>
      <c r="E905" s="31">
        <v>32</v>
      </c>
      <c r="F905" s="31">
        <v>32</v>
      </c>
      <c r="G905" s="9">
        <v>0</v>
      </c>
      <c r="H905" s="7" t="s">
        <v>1048</v>
      </c>
      <c r="I905" s="7" t="s">
        <v>1438</v>
      </c>
    </row>
    <row r="906" spans="1:9" ht="76.5" x14ac:dyDescent="0.25">
      <c r="A906" s="34" t="s">
        <v>930</v>
      </c>
      <c r="B906" s="31" t="s">
        <v>929</v>
      </c>
      <c r="C906" s="31" t="s">
        <v>224</v>
      </c>
      <c r="D906" s="31" t="s">
        <v>1555</v>
      </c>
      <c r="E906" s="31">
        <v>9</v>
      </c>
      <c r="F906" s="31">
        <v>9</v>
      </c>
      <c r="G906" s="9">
        <v>0</v>
      </c>
      <c r="H906" s="7" t="s">
        <v>1013</v>
      </c>
      <c r="I906" s="7" t="s">
        <v>1438</v>
      </c>
    </row>
    <row r="907" spans="1:9" ht="331.5" x14ac:dyDescent="0.25">
      <c r="A907" s="34" t="s">
        <v>930</v>
      </c>
      <c r="B907" s="31" t="s">
        <v>929</v>
      </c>
      <c r="C907" s="31" t="s">
        <v>295</v>
      </c>
      <c r="D907" s="31" t="s">
        <v>1555</v>
      </c>
      <c r="E907" s="31">
        <v>12</v>
      </c>
      <c r="F907" s="31">
        <v>13</v>
      </c>
      <c r="G907" s="9">
        <v>0</v>
      </c>
      <c r="H907" s="7" t="s">
        <v>979</v>
      </c>
      <c r="I907" s="7" t="s">
        <v>1438</v>
      </c>
    </row>
    <row r="908" spans="1:9" ht="409.5" x14ac:dyDescent="0.25">
      <c r="A908" s="34" t="s">
        <v>930</v>
      </c>
      <c r="B908" s="31" t="s">
        <v>929</v>
      </c>
      <c r="C908" s="31" t="s">
        <v>295</v>
      </c>
      <c r="D908" s="31" t="s">
        <v>1555</v>
      </c>
      <c r="E908" s="31">
        <v>19</v>
      </c>
      <c r="F908" s="31">
        <v>23</v>
      </c>
      <c r="G908" s="9">
        <v>0</v>
      </c>
      <c r="H908" s="7" t="s">
        <v>977</v>
      </c>
      <c r="I908" s="7" t="s">
        <v>1438</v>
      </c>
    </row>
    <row r="909" spans="1:9" ht="89.25" x14ac:dyDescent="0.25">
      <c r="A909" s="34" t="s">
        <v>930</v>
      </c>
      <c r="B909" s="31" t="s">
        <v>929</v>
      </c>
      <c r="C909" s="31" t="s">
        <v>351</v>
      </c>
      <c r="D909" s="31" t="s">
        <v>1556</v>
      </c>
      <c r="E909" s="31">
        <v>53</v>
      </c>
      <c r="F909" s="31">
        <v>53</v>
      </c>
      <c r="G909" s="9">
        <v>0</v>
      </c>
      <c r="H909" s="7" t="s">
        <v>1418</v>
      </c>
      <c r="I909" s="7" t="s">
        <v>1438</v>
      </c>
    </row>
    <row r="910" spans="1:9" ht="267.75" x14ac:dyDescent="0.25">
      <c r="A910" s="34" t="s">
        <v>930</v>
      </c>
      <c r="B910" s="31" t="s">
        <v>929</v>
      </c>
      <c r="C910" s="31" t="s">
        <v>703</v>
      </c>
      <c r="D910" s="31" t="s">
        <v>1556</v>
      </c>
      <c r="E910" s="31">
        <v>15</v>
      </c>
      <c r="F910" s="31">
        <v>15</v>
      </c>
      <c r="G910" s="9">
        <v>0</v>
      </c>
      <c r="H910" s="7" t="s">
        <v>1339</v>
      </c>
      <c r="I910" s="7" t="s">
        <v>1438</v>
      </c>
    </row>
    <row r="911" spans="1:9" ht="127.5" x14ac:dyDescent="0.25">
      <c r="A911" s="34" t="s">
        <v>930</v>
      </c>
      <c r="B911" s="31" t="s">
        <v>929</v>
      </c>
      <c r="C911" s="31" t="s">
        <v>399</v>
      </c>
      <c r="D911" s="31" t="s">
        <v>1556</v>
      </c>
      <c r="E911" s="31">
        <v>21</v>
      </c>
      <c r="F911" s="31">
        <v>21</v>
      </c>
      <c r="G911" s="9">
        <v>0</v>
      </c>
      <c r="H911" s="7" t="s">
        <v>1217</v>
      </c>
      <c r="I911" s="7" t="s">
        <v>1438</v>
      </c>
    </row>
    <row r="912" spans="1:9" customFormat="1" ht="89.25" x14ac:dyDescent="0.25">
      <c r="A912" s="34" t="s">
        <v>930</v>
      </c>
      <c r="B912" s="31" t="s">
        <v>929</v>
      </c>
      <c r="C912" s="31" t="s">
        <v>258</v>
      </c>
      <c r="D912" s="31" t="s">
        <v>1556</v>
      </c>
      <c r="E912" s="31">
        <v>21</v>
      </c>
      <c r="F912" s="31">
        <v>21</v>
      </c>
      <c r="G912" s="9">
        <v>0</v>
      </c>
      <c r="H912" s="7" t="s">
        <v>1201</v>
      </c>
      <c r="I912" s="7" t="s">
        <v>1438</v>
      </c>
    </row>
    <row r="913" spans="1:9" ht="344.25" x14ac:dyDescent="0.25">
      <c r="A913" s="34" t="s">
        <v>930</v>
      </c>
      <c r="B913" s="31" t="s">
        <v>929</v>
      </c>
      <c r="C913" s="31" t="s">
        <v>128</v>
      </c>
      <c r="D913" s="31" t="s">
        <v>1556</v>
      </c>
      <c r="E913" s="31">
        <v>11</v>
      </c>
      <c r="F913" s="31">
        <v>12</v>
      </c>
      <c r="G913" s="9">
        <v>0</v>
      </c>
      <c r="H913" s="7" t="s">
        <v>1065</v>
      </c>
      <c r="I913" s="7" t="s">
        <v>1438</v>
      </c>
    </row>
  </sheetData>
  <autoFilter ref="A1:H913" xr:uid="{DE7D1A7A-32F4-4197-B37D-A29592C0212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6B6E-5203-4C18-9A9D-15CD453886A3}">
  <dimension ref="A1:H219"/>
  <sheetViews>
    <sheetView showGridLines="0" workbookViewId="0"/>
  </sheetViews>
  <sheetFormatPr defaultRowHeight="15" x14ac:dyDescent="0.25"/>
  <cols>
    <col min="1" max="1" width="7.7109375" style="21" customWidth="1"/>
    <col min="2" max="2" width="45.7109375" style="21" customWidth="1"/>
    <col min="3" max="3" width="22.7109375" style="21" customWidth="1"/>
    <col min="4" max="4" width="50.7109375" style="21" customWidth="1"/>
    <col min="5" max="5" width="22.7109375" style="21" customWidth="1"/>
    <col min="6" max="6" width="7.7109375" style="21" customWidth="1"/>
    <col min="7" max="8" width="22.7109375" style="21" customWidth="1"/>
    <col min="9" max="16384" width="9.140625" style="21"/>
  </cols>
  <sheetData>
    <row r="1" spans="1:8" x14ac:dyDescent="0.25">
      <c r="A1" s="20" t="s">
        <v>1434</v>
      </c>
      <c r="B1" s="20" t="s">
        <v>1433</v>
      </c>
      <c r="C1" s="20" t="s">
        <v>1432</v>
      </c>
      <c r="D1" s="20" t="s">
        <v>1431</v>
      </c>
      <c r="E1" s="20" t="s">
        <v>1430</v>
      </c>
      <c r="F1" s="20" t="s">
        <v>1429</v>
      </c>
      <c r="G1" s="20" t="s">
        <v>1428</v>
      </c>
      <c r="H1" s="20" t="s">
        <v>1427</v>
      </c>
    </row>
    <row r="2" spans="1:8" ht="127.5" x14ac:dyDescent="0.25">
      <c r="A2" s="22" t="s">
        <v>930</v>
      </c>
      <c r="B2" s="23" t="s">
        <v>1570</v>
      </c>
      <c r="C2" s="23" t="s">
        <v>654</v>
      </c>
      <c r="D2" s="23" t="s">
        <v>1513</v>
      </c>
      <c r="E2" s="23">
        <v>11</v>
      </c>
      <c r="F2" s="23">
        <v>11</v>
      </c>
      <c r="G2" s="24">
        <v>0</v>
      </c>
      <c r="H2" s="25" t="s">
        <v>1571</v>
      </c>
    </row>
    <row r="3" spans="1:8" ht="165.75" x14ac:dyDescent="0.25">
      <c r="A3" s="22" t="s">
        <v>930</v>
      </c>
      <c r="B3" s="23" t="s">
        <v>1570</v>
      </c>
      <c r="C3" s="23" t="s">
        <v>654</v>
      </c>
      <c r="D3" s="23" t="s">
        <v>1513</v>
      </c>
      <c r="E3" s="23">
        <v>21</v>
      </c>
      <c r="F3" s="23">
        <v>21</v>
      </c>
      <c r="G3" s="24">
        <v>0</v>
      </c>
      <c r="H3" s="25" t="s">
        <v>1572</v>
      </c>
    </row>
    <row r="4" spans="1:8" ht="76.5" x14ac:dyDescent="0.25">
      <c r="A4" s="22" t="s">
        <v>930</v>
      </c>
      <c r="B4" s="23" t="s">
        <v>1570</v>
      </c>
      <c r="C4" s="23" t="s">
        <v>258</v>
      </c>
      <c r="D4" s="23" t="s">
        <v>1513</v>
      </c>
      <c r="E4" s="23">
        <v>25</v>
      </c>
      <c r="F4" s="23">
        <v>25</v>
      </c>
      <c r="G4" s="24">
        <v>0</v>
      </c>
      <c r="H4" s="25" t="s">
        <v>1573</v>
      </c>
    </row>
    <row r="5" spans="1:8" ht="306" x14ac:dyDescent="0.25">
      <c r="A5" s="22" t="s">
        <v>930</v>
      </c>
      <c r="B5" s="23" t="s">
        <v>1570</v>
      </c>
      <c r="C5" s="23" t="s">
        <v>258</v>
      </c>
      <c r="D5" s="23" t="s">
        <v>1513</v>
      </c>
      <c r="E5" s="23">
        <v>34</v>
      </c>
      <c r="F5" s="23">
        <v>34</v>
      </c>
      <c r="G5" s="24">
        <v>0</v>
      </c>
      <c r="H5" s="25" t="s">
        <v>1574</v>
      </c>
    </row>
    <row r="6" spans="1:8" ht="140.25" x14ac:dyDescent="0.25">
      <c r="A6" s="22" t="s">
        <v>930</v>
      </c>
      <c r="B6" s="23" t="s">
        <v>1570</v>
      </c>
      <c r="C6" s="23" t="s">
        <v>21</v>
      </c>
      <c r="D6" s="23" t="s">
        <v>1513</v>
      </c>
      <c r="E6" s="23">
        <v>7</v>
      </c>
      <c r="F6" s="23">
        <v>7</v>
      </c>
      <c r="G6" s="24">
        <v>0</v>
      </c>
      <c r="H6" s="25" t="s">
        <v>1393</v>
      </c>
    </row>
    <row r="7" spans="1:8" ht="102" x14ac:dyDescent="0.25">
      <c r="A7" s="22" t="s">
        <v>930</v>
      </c>
      <c r="B7" s="23" t="s">
        <v>1570</v>
      </c>
      <c r="C7" s="23" t="s">
        <v>21</v>
      </c>
      <c r="D7" s="23" t="s">
        <v>1513</v>
      </c>
      <c r="E7" s="23">
        <v>20</v>
      </c>
      <c r="F7" s="23">
        <v>20</v>
      </c>
      <c r="G7" s="24">
        <v>0</v>
      </c>
      <c r="H7" s="25" t="s">
        <v>1389</v>
      </c>
    </row>
    <row r="8" spans="1:8" ht="76.5" x14ac:dyDescent="0.25">
      <c r="A8" s="22" t="s">
        <v>930</v>
      </c>
      <c r="B8" s="23" t="s">
        <v>1570</v>
      </c>
      <c r="C8" s="23" t="s">
        <v>21</v>
      </c>
      <c r="D8" s="23" t="s">
        <v>1513</v>
      </c>
      <c r="E8" s="23">
        <v>34</v>
      </c>
      <c r="F8" s="23">
        <v>34</v>
      </c>
      <c r="G8" s="24">
        <v>0</v>
      </c>
      <c r="H8" s="25" t="s">
        <v>1575</v>
      </c>
    </row>
    <row r="9" spans="1:8" ht="89.25" x14ac:dyDescent="0.25">
      <c r="A9" s="22" t="s">
        <v>930</v>
      </c>
      <c r="B9" s="23" t="s">
        <v>1570</v>
      </c>
      <c r="C9" s="23" t="s">
        <v>918</v>
      </c>
      <c r="D9" s="23" t="s">
        <v>1513</v>
      </c>
      <c r="E9" s="23">
        <v>5</v>
      </c>
      <c r="F9" s="23">
        <v>5</v>
      </c>
      <c r="G9" s="24">
        <v>0</v>
      </c>
      <c r="H9" s="25" t="s">
        <v>1576</v>
      </c>
    </row>
    <row r="10" spans="1:8" ht="51" x14ac:dyDescent="0.25">
      <c r="A10" s="22" t="s">
        <v>930</v>
      </c>
      <c r="B10" s="23" t="s">
        <v>1570</v>
      </c>
      <c r="C10" s="23" t="s">
        <v>918</v>
      </c>
      <c r="D10" s="23" t="s">
        <v>1513</v>
      </c>
      <c r="E10" s="23">
        <v>16</v>
      </c>
      <c r="F10" s="23">
        <v>16</v>
      </c>
      <c r="G10" s="24">
        <v>0</v>
      </c>
      <c r="H10" s="25" t="s">
        <v>1577</v>
      </c>
    </row>
    <row r="11" spans="1:8" ht="165.75" x14ac:dyDescent="0.25">
      <c r="A11" s="22" t="s">
        <v>930</v>
      </c>
      <c r="B11" s="23" t="s">
        <v>1570</v>
      </c>
      <c r="C11" s="23" t="s">
        <v>918</v>
      </c>
      <c r="D11" s="23" t="s">
        <v>1513</v>
      </c>
      <c r="E11" s="23">
        <v>23</v>
      </c>
      <c r="F11" s="23">
        <v>23</v>
      </c>
      <c r="G11" s="24">
        <v>0</v>
      </c>
      <c r="H11" s="25" t="s">
        <v>1578</v>
      </c>
    </row>
    <row r="12" spans="1:8" ht="280.5" x14ac:dyDescent="0.25">
      <c r="A12" s="22" t="s">
        <v>930</v>
      </c>
      <c r="B12" s="23" t="s">
        <v>1570</v>
      </c>
      <c r="C12" s="23" t="s">
        <v>918</v>
      </c>
      <c r="D12" s="23" t="s">
        <v>1513</v>
      </c>
      <c r="E12" s="23">
        <v>24</v>
      </c>
      <c r="F12" s="23">
        <v>24</v>
      </c>
      <c r="G12" s="24">
        <v>0</v>
      </c>
      <c r="H12" s="25" t="s">
        <v>1579</v>
      </c>
    </row>
    <row r="13" spans="1:8" ht="204" x14ac:dyDescent="0.25">
      <c r="A13" s="22" t="s">
        <v>930</v>
      </c>
      <c r="B13" s="23" t="s">
        <v>1570</v>
      </c>
      <c r="C13" s="23" t="s">
        <v>918</v>
      </c>
      <c r="D13" s="23" t="s">
        <v>1513</v>
      </c>
      <c r="E13" s="23">
        <v>25</v>
      </c>
      <c r="F13" s="23">
        <v>25</v>
      </c>
      <c r="G13" s="24">
        <v>0</v>
      </c>
      <c r="H13" s="25" t="s">
        <v>1580</v>
      </c>
    </row>
    <row r="14" spans="1:8" ht="127.5" x14ac:dyDescent="0.25">
      <c r="A14" s="22" t="s">
        <v>930</v>
      </c>
      <c r="B14" s="23" t="s">
        <v>1570</v>
      </c>
      <c r="C14" s="23" t="s">
        <v>281</v>
      </c>
      <c r="D14" s="23" t="s">
        <v>1513</v>
      </c>
      <c r="E14" s="23">
        <v>10</v>
      </c>
      <c r="F14" s="23">
        <v>10</v>
      </c>
      <c r="G14" s="24">
        <v>0</v>
      </c>
      <c r="H14" s="25" t="s">
        <v>1581</v>
      </c>
    </row>
    <row r="15" spans="1:8" ht="89.25" x14ac:dyDescent="0.25">
      <c r="A15" s="22" t="s">
        <v>930</v>
      </c>
      <c r="B15" s="23" t="s">
        <v>1570</v>
      </c>
      <c r="C15" s="23" t="s">
        <v>281</v>
      </c>
      <c r="D15" s="23" t="s">
        <v>1513</v>
      </c>
      <c r="E15" s="23">
        <v>14</v>
      </c>
      <c r="F15" s="23">
        <v>14</v>
      </c>
      <c r="G15" s="24">
        <v>0</v>
      </c>
      <c r="H15" s="25" t="s">
        <v>1582</v>
      </c>
    </row>
    <row r="16" spans="1:8" ht="165.75" x14ac:dyDescent="0.25">
      <c r="A16" s="22" t="s">
        <v>930</v>
      </c>
      <c r="B16" s="23" t="s">
        <v>1570</v>
      </c>
      <c r="C16" s="23" t="s">
        <v>281</v>
      </c>
      <c r="D16" s="23" t="s">
        <v>1513</v>
      </c>
      <c r="E16" s="23">
        <v>30</v>
      </c>
      <c r="F16" s="23">
        <v>30</v>
      </c>
      <c r="G16" s="24">
        <v>0</v>
      </c>
      <c r="H16" s="25" t="s">
        <v>1583</v>
      </c>
    </row>
    <row r="17" spans="1:8" ht="89.25" x14ac:dyDescent="0.25">
      <c r="A17" s="22" t="s">
        <v>930</v>
      </c>
      <c r="B17" s="23" t="s">
        <v>1570</v>
      </c>
      <c r="C17" s="23" t="s">
        <v>67</v>
      </c>
      <c r="D17" s="23" t="s">
        <v>1513</v>
      </c>
      <c r="E17" s="23">
        <v>27</v>
      </c>
      <c r="F17" s="23">
        <v>27</v>
      </c>
      <c r="G17" s="24">
        <v>0</v>
      </c>
      <c r="H17" s="25" t="s">
        <v>1584</v>
      </c>
    </row>
    <row r="18" spans="1:8" ht="318.75" x14ac:dyDescent="0.25">
      <c r="A18" s="22" t="s">
        <v>930</v>
      </c>
      <c r="B18" s="23" t="s">
        <v>1570</v>
      </c>
      <c r="C18" s="23" t="s">
        <v>67</v>
      </c>
      <c r="D18" s="23" t="s">
        <v>1513</v>
      </c>
      <c r="E18" s="23">
        <v>33</v>
      </c>
      <c r="F18" s="23">
        <v>33</v>
      </c>
      <c r="G18" s="24">
        <v>0</v>
      </c>
      <c r="H18" s="25" t="s">
        <v>1585</v>
      </c>
    </row>
    <row r="19" spans="1:8" ht="102" x14ac:dyDescent="0.25">
      <c r="A19" s="22" t="s">
        <v>930</v>
      </c>
      <c r="B19" s="23" t="s">
        <v>1570</v>
      </c>
      <c r="C19" s="23" t="s">
        <v>224</v>
      </c>
      <c r="D19" s="23" t="s">
        <v>1513</v>
      </c>
      <c r="E19" s="23">
        <v>4</v>
      </c>
      <c r="F19" s="23">
        <v>4</v>
      </c>
      <c r="G19" s="24">
        <v>0</v>
      </c>
      <c r="H19" s="25" t="s">
        <v>1586</v>
      </c>
    </row>
    <row r="20" spans="1:8" ht="140.25" x14ac:dyDescent="0.25">
      <c r="A20" s="22" t="s">
        <v>930</v>
      </c>
      <c r="B20" s="23" t="s">
        <v>1570</v>
      </c>
      <c r="C20" s="23" t="s">
        <v>224</v>
      </c>
      <c r="D20" s="23" t="s">
        <v>1513</v>
      </c>
      <c r="E20" s="23">
        <v>6</v>
      </c>
      <c r="F20" s="23">
        <v>6</v>
      </c>
      <c r="G20" s="24">
        <v>0</v>
      </c>
      <c r="H20" s="25" t="s">
        <v>1587</v>
      </c>
    </row>
    <row r="21" spans="1:8" ht="76.5" x14ac:dyDescent="0.25">
      <c r="A21" s="22" t="s">
        <v>930</v>
      </c>
      <c r="B21" s="23" t="s">
        <v>1570</v>
      </c>
      <c r="C21" s="23" t="s">
        <v>918</v>
      </c>
      <c r="D21" s="23" t="s">
        <v>1515</v>
      </c>
      <c r="E21" s="23">
        <v>4</v>
      </c>
      <c r="F21" s="23">
        <v>4</v>
      </c>
      <c r="G21" s="24">
        <v>0</v>
      </c>
      <c r="H21" s="25" t="s">
        <v>1588</v>
      </c>
    </row>
    <row r="22" spans="1:8" ht="114.75" x14ac:dyDescent="0.25">
      <c r="A22" s="22" t="s">
        <v>930</v>
      </c>
      <c r="B22" s="23" t="s">
        <v>1570</v>
      </c>
      <c r="C22" s="23" t="s">
        <v>281</v>
      </c>
      <c r="D22" s="23" t="s">
        <v>1515</v>
      </c>
      <c r="E22" s="23">
        <v>26</v>
      </c>
      <c r="F22" s="23">
        <v>26</v>
      </c>
      <c r="G22" s="24">
        <v>0</v>
      </c>
      <c r="H22" s="25" t="s">
        <v>1589</v>
      </c>
    </row>
    <row r="23" spans="1:8" ht="76.5" x14ac:dyDescent="0.25">
      <c r="A23" s="22" t="s">
        <v>930</v>
      </c>
      <c r="B23" s="23" t="s">
        <v>1570</v>
      </c>
      <c r="C23" s="23" t="s">
        <v>258</v>
      </c>
      <c r="D23" s="16" t="s">
        <v>1517</v>
      </c>
      <c r="E23" s="23">
        <v>13</v>
      </c>
      <c r="F23" s="23">
        <v>13</v>
      </c>
      <c r="G23" s="24">
        <v>0</v>
      </c>
      <c r="H23" s="25" t="s">
        <v>1590</v>
      </c>
    </row>
    <row r="24" spans="1:8" ht="51" x14ac:dyDescent="0.25">
      <c r="A24" s="22" t="s">
        <v>930</v>
      </c>
      <c r="B24" s="23" t="s">
        <v>1570</v>
      </c>
      <c r="C24" s="23" t="s">
        <v>258</v>
      </c>
      <c r="D24" s="16" t="s">
        <v>1517</v>
      </c>
      <c r="E24" s="23">
        <v>15</v>
      </c>
      <c r="F24" s="23">
        <v>15</v>
      </c>
      <c r="G24" s="24">
        <v>0</v>
      </c>
      <c r="H24" s="25" t="s">
        <v>1204</v>
      </c>
    </row>
    <row r="25" spans="1:8" ht="102" x14ac:dyDescent="0.25">
      <c r="A25" s="22" t="s">
        <v>930</v>
      </c>
      <c r="B25" s="23" t="s">
        <v>1570</v>
      </c>
      <c r="C25" s="23" t="s">
        <v>258</v>
      </c>
      <c r="D25" s="16" t="s">
        <v>1517</v>
      </c>
      <c r="E25" s="23">
        <v>19</v>
      </c>
      <c r="F25" s="23">
        <v>19</v>
      </c>
      <c r="G25" s="24">
        <v>0</v>
      </c>
      <c r="H25" s="25" t="s">
        <v>1203</v>
      </c>
    </row>
    <row r="26" spans="1:8" ht="280.5" x14ac:dyDescent="0.25">
      <c r="A26" s="22" t="s">
        <v>930</v>
      </c>
      <c r="B26" s="23" t="s">
        <v>1570</v>
      </c>
      <c r="C26" s="23" t="s">
        <v>258</v>
      </c>
      <c r="D26" s="16" t="s">
        <v>1517</v>
      </c>
      <c r="E26" s="23">
        <v>30</v>
      </c>
      <c r="F26" s="23">
        <v>30</v>
      </c>
      <c r="G26" s="24">
        <v>0</v>
      </c>
      <c r="H26" s="25" t="s">
        <v>1591</v>
      </c>
    </row>
    <row r="27" spans="1:8" ht="51" x14ac:dyDescent="0.25">
      <c r="A27" s="22" t="s">
        <v>930</v>
      </c>
      <c r="B27" s="23" t="s">
        <v>1570</v>
      </c>
      <c r="C27" s="23" t="s">
        <v>21</v>
      </c>
      <c r="D27" s="16" t="s">
        <v>1517</v>
      </c>
      <c r="E27" s="23">
        <v>14</v>
      </c>
      <c r="F27" s="23">
        <v>14</v>
      </c>
      <c r="G27" s="24">
        <v>0</v>
      </c>
      <c r="H27" s="25" t="s">
        <v>1592</v>
      </c>
    </row>
    <row r="28" spans="1:8" ht="63.75" x14ac:dyDescent="0.25">
      <c r="A28" s="22" t="s">
        <v>930</v>
      </c>
      <c r="B28" s="23" t="s">
        <v>1570</v>
      </c>
      <c r="C28" s="23" t="s">
        <v>21</v>
      </c>
      <c r="D28" s="16" t="s">
        <v>1517</v>
      </c>
      <c r="E28" s="23">
        <v>33</v>
      </c>
      <c r="F28" s="23">
        <v>33</v>
      </c>
      <c r="G28" s="24">
        <v>0</v>
      </c>
      <c r="H28" s="25" t="s">
        <v>1388</v>
      </c>
    </row>
    <row r="29" spans="1:8" ht="89.25" x14ac:dyDescent="0.25">
      <c r="A29" s="22" t="s">
        <v>930</v>
      </c>
      <c r="B29" s="23" t="s">
        <v>1570</v>
      </c>
      <c r="C29" s="23" t="s">
        <v>21</v>
      </c>
      <c r="D29" s="16" t="s">
        <v>1517</v>
      </c>
      <c r="E29" s="23">
        <v>45</v>
      </c>
      <c r="F29" s="23">
        <v>45</v>
      </c>
      <c r="G29" s="24">
        <v>0</v>
      </c>
      <c r="H29" s="25" t="s">
        <v>1593</v>
      </c>
    </row>
    <row r="30" spans="1:8" ht="229.5" x14ac:dyDescent="0.25">
      <c r="A30" s="22" t="s">
        <v>930</v>
      </c>
      <c r="B30" s="23" t="s">
        <v>1570</v>
      </c>
      <c r="C30" s="23" t="s">
        <v>67</v>
      </c>
      <c r="D30" s="16" t="s">
        <v>1516</v>
      </c>
      <c r="E30" s="23">
        <v>5</v>
      </c>
      <c r="F30" s="23">
        <v>5</v>
      </c>
      <c r="G30" s="24">
        <v>0</v>
      </c>
      <c r="H30" s="25" t="s">
        <v>1594</v>
      </c>
    </row>
    <row r="31" spans="1:8" ht="216.75" x14ac:dyDescent="0.25">
      <c r="A31" s="22" t="s">
        <v>930</v>
      </c>
      <c r="B31" s="23" t="s">
        <v>1570</v>
      </c>
      <c r="C31" s="23" t="s">
        <v>67</v>
      </c>
      <c r="D31" s="16" t="s">
        <v>1516</v>
      </c>
      <c r="E31" s="23">
        <v>35</v>
      </c>
      <c r="F31" s="23">
        <v>35</v>
      </c>
      <c r="G31" s="24">
        <v>0</v>
      </c>
      <c r="H31" s="25" t="s">
        <v>1595</v>
      </c>
    </row>
    <row r="32" spans="1:8" ht="127.5" x14ac:dyDescent="0.25">
      <c r="A32" s="26" t="s">
        <v>930</v>
      </c>
      <c r="B32" s="23" t="s">
        <v>1570</v>
      </c>
      <c r="C32" s="23" t="s">
        <v>654</v>
      </c>
      <c r="D32" s="23" t="s">
        <v>1519</v>
      </c>
      <c r="E32" s="23">
        <v>16</v>
      </c>
      <c r="F32" s="23">
        <v>16</v>
      </c>
      <c r="G32" s="24">
        <v>0</v>
      </c>
      <c r="H32" s="25" t="s">
        <v>1596</v>
      </c>
    </row>
    <row r="33" spans="1:8" ht="127.5" x14ac:dyDescent="0.25">
      <c r="A33" s="26" t="s">
        <v>930</v>
      </c>
      <c r="B33" s="23" t="s">
        <v>1570</v>
      </c>
      <c r="C33" s="23" t="s">
        <v>67</v>
      </c>
      <c r="D33" s="23" t="s">
        <v>1519</v>
      </c>
      <c r="E33" s="23">
        <v>11</v>
      </c>
      <c r="F33" s="23">
        <v>11</v>
      </c>
      <c r="G33" s="24">
        <v>0</v>
      </c>
      <c r="H33" s="25" t="s">
        <v>1597</v>
      </c>
    </row>
    <row r="34" spans="1:8" ht="255" x14ac:dyDescent="0.25">
      <c r="A34" s="26" t="s">
        <v>930</v>
      </c>
      <c r="B34" s="23" t="s">
        <v>1570</v>
      </c>
      <c r="C34" s="23" t="s">
        <v>67</v>
      </c>
      <c r="D34" s="23" t="s">
        <v>1519</v>
      </c>
      <c r="E34" s="23">
        <v>42</v>
      </c>
      <c r="F34" s="23">
        <v>42</v>
      </c>
      <c r="G34" s="24">
        <v>0</v>
      </c>
      <c r="H34" s="25" t="s">
        <v>1598</v>
      </c>
    </row>
    <row r="35" spans="1:8" ht="127.5" x14ac:dyDescent="0.25">
      <c r="A35" s="26" t="s">
        <v>930</v>
      </c>
      <c r="B35" s="23" t="s">
        <v>1570</v>
      </c>
      <c r="C35" s="23" t="s">
        <v>654</v>
      </c>
      <c r="D35" s="23" t="s">
        <v>1520</v>
      </c>
      <c r="E35" s="23">
        <v>9</v>
      </c>
      <c r="F35" s="23">
        <v>9</v>
      </c>
      <c r="G35" s="24">
        <v>0</v>
      </c>
      <c r="H35" s="25" t="s">
        <v>1599</v>
      </c>
    </row>
    <row r="36" spans="1:8" ht="140.25" x14ac:dyDescent="0.25">
      <c r="A36" s="26" t="s">
        <v>930</v>
      </c>
      <c r="B36" s="23" t="s">
        <v>1570</v>
      </c>
      <c r="C36" s="23" t="s">
        <v>654</v>
      </c>
      <c r="D36" s="23" t="s">
        <v>1520</v>
      </c>
      <c r="E36" s="23">
        <v>10</v>
      </c>
      <c r="F36" s="23">
        <v>10</v>
      </c>
      <c r="G36" s="24">
        <v>0</v>
      </c>
      <c r="H36" s="25" t="s">
        <v>1600</v>
      </c>
    </row>
    <row r="37" spans="1:8" ht="127.5" x14ac:dyDescent="0.25">
      <c r="A37" s="26" t="s">
        <v>930</v>
      </c>
      <c r="B37" s="23" t="s">
        <v>1570</v>
      </c>
      <c r="C37" s="23" t="s">
        <v>654</v>
      </c>
      <c r="D37" s="23" t="s">
        <v>1520</v>
      </c>
      <c r="E37" s="23">
        <v>11</v>
      </c>
      <c r="F37" s="23">
        <v>11</v>
      </c>
      <c r="G37" s="24">
        <v>0</v>
      </c>
      <c r="H37" s="25" t="s">
        <v>1571</v>
      </c>
    </row>
    <row r="38" spans="1:8" ht="153" x14ac:dyDescent="0.25">
      <c r="A38" s="26" t="s">
        <v>930</v>
      </c>
      <c r="B38" s="23" t="s">
        <v>1570</v>
      </c>
      <c r="C38" s="23" t="s">
        <v>654</v>
      </c>
      <c r="D38" s="23" t="s">
        <v>1520</v>
      </c>
      <c r="E38" s="23">
        <v>19</v>
      </c>
      <c r="F38" s="23">
        <v>19</v>
      </c>
      <c r="G38" s="24">
        <v>0</v>
      </c>
      <c r="H38" s="25" t="s">
        <v>1601</v>
      </c>
    </row>
    <row r="39" spans="1:8" ht="102" x14ac:dyDescent="0.25">
      <c r="A39" s="26" t="s">
        <v>930</v>
      </c>
      <c r="B39" s="23" t="s">
        <v>1570</v>
      </c>
      <c r="C39" s="23" t="s">
        <v>654</v>
      </c>
      <c r="D39" s="23" t="s">
        <v>1520</v>
      </c>
      <c r="E39" s="23">
        <v>34</v>
      </c>
      <c r="F39" s="23">
        <v>34</v>
      </c>
      <c r="G39" s="24">
        <v>0</v>
      </c>
      <c r="H39" s="25" t="s">
        <v>1602</v>
      </c>
    </row>
    <row r="40" spans="1:8" ht="102" x14ac:dyDescent="0.25">
      <c r="A40" s="26" t="s">
        <v>930</v>
      </c>
      <c r="B40" s="23" t="s">
        <v>1570</v>
      </c>
      <c r="C40" s="23" t="s">
        <v>654</v>
      </c>
      <c r="D40" s="23" t="s">
        <v>1520</v>
      </c>
      <c r="E40" s="23">
        <v>36</v>
      </c>
      <c r="F40" s="23">
        <v>36</v>
      </c>
      <c r="G40" s="24">
        <v>0</v>
      </c>
      <c r="H40" s="25" t="s">
        <v>1603</v>
      </c>
    </row>
    <row r="41" spans="1:8" ht="102" x14ac:dyDescent="0.25">
      <c r="A41" s="26" t="s">
        <v>930</v>
      </c>
      <c r="B41" s="23" t="s">
        <v>1570</v>
      </c>
      <c r="C41" s="23" t="s">
        <v>258</v>
      </c>
      <c r="D41" s="23" t="s">
        <v>1520</v>
      </c>
      <c r="E41" s="23">
        <v>19</v>
      </c>
      <c r="F41" s="23">
        <v>19</v>
      </c>
      <c r="G41" s="24">
        <v>0</v>
      </c>
      <c r="H41" s="25" t="s">
        <v>1203</v>
      </c>
    </row>
    <row r="42" spans="1:8" ht="51" x14ac:dyDescent="0.25">
      <c r="A42" s="26" t="s">
        <v>930</v>
      </c>
      <c r="B42" s="23" t="s">
        <v>1570</v>
      </c>
      <c r="C42" s="23" t="s">
        <v>21</v>
      </c>
      <c r="D42" s="23" t="s">
        <v>1520</v>
      </c>
      <c r="E42" s="23">
        <v>14</v>
      </c>
      <c r="F42" s="23">
        <v>14</v>
      </c>
      <c r="G42" s="24">
        <v>0</v>
      </c>
      <c r="H42" s="25" t="s">
        <v>1592</v>
      </c>
    </row>
    <row r="43" spans="1:8" ht="102" x14ac:dyDescent="0.25">
      <c r="A43" s="26" t="s">
        <v>930</v>
      </c>
      <c r="B43" s="23" t="s">
        <v>1570</v>
      </c>
      <c r="C43" s="23" t="s">
        <v>21</v>
      </c>
      <c r="D43" s="23" t="s">
        <v>1520</v>
      </c>
      <c r="E43" s="23">
        <v>19</v>
      </c>
      <c r="F43" s="23">
        <v>19</v>
      </c>
      <c r="G43" s="24">
        <v>0</v>
      </c>
      <c r="H43" s="25" t="s">
        <v>1390</v>
      </c>
    </row>
    <row r="44" spans="1:8" ht="114.75" x14ac:dyDescent="0.25">
      <c r="A44" s="26" t="s">
        <v>930</v>
      </c>
      <c r="B44" s="23" t="s">
        <v>1570</v>
      </c>
      <c r="C44" s="23" t="s">
        <v>21</v>
      </c>
      <c r="D44" s="23" t="s">
        <v>1520</v>
      </c>
      <c r="E44" s="23">
        <v>42</v>
      </c>
      <c r="F44" s="23">
        <v>42</v>
      </c>
      <c r="G44" s="24">
        <v>0</v>
      </c>
      <c r="H44" s="25" t="s">
        <v>1386</v>
      </c>
    </row>
    <row r="45" spans="1:8" ht="114.75" x14ac:dyDescent="0.25">
      <c r="A45" s="26" t="s">
        <v>930</v>
      </c>
      <c r="B45" s="23" t="s">
        <v>1570</v>
      </c>
      <c r="C45" s="23" t="s">
        <v>918</v>
      </c>
      <c r="D45" s="23" t="s">
        <v>1520</v>
      </c>
      <c r="E45" s="23">
        <v>8</v>
      </c>
      <c r="F45" s="23">
        <v>8</v>
      </c>
      <c r="G45" s="24">
        <v>0</v>
      </c>
      <c r="H45" s="25" t="s">
        <v>1604</v>
      </c>
    </row>
    <row r="46" spans="1:8" ht="114.75" x14ac:dyDescent="0.25">
      <c r="A46" s="26" t="s">
        <v>930</v>
      </c>
      <c r="B46" s="23" t="s">
        <v>1570</v>
      </c>
      <c r="C46" s="23" t="s">
        <v>918</v>
      </c>
      <c r="D46" s="23" t="s">
        <v>1520</v>
      </c>
      <c r="E46" s="23">
        <v>9</v>
      </c>
      <c r="F46" s="23">
        <v>9</v>
      </c>
      <c r="G46" s="24">
        <v>0</v>
      </c>
      <c r="H46" s="25" t="s">
        <v>1605</v>
      </c>
    </row>
    <row r="47" spans="1:8" ht="114.75" x14ac:dyDescent="0.25">
      <c r="A47" s="26" t="s">
        <v>930</v>
      </c>
      <c r="B47" s="23" t="s">
        <v>1570</v>
      </c>
      <c r="C47" s="23" t="s">
        <v>918</v>
      </c>
      <c r="D47" s="23" t="s">
        <v>1520</v>
      </c>
      <c r="E47" s="23">
        <v>10</v>
      </c>
      <c r="F47" s="23">
        <v>10</v>
      </c>
      <c r="G47" s="24">
        <v>0</v>
      </c>
      <c r="H47" s="25" t="s">
        <v>1606</v>
      </c>
    </row>
    <row r="48" spans="1:8" ht="165.75" x14ac:dyDescent="0.25">
      <c r="A48" s="26" t="s">
        <v>930</v>
      </c>
      <c r="B48" s="23" t="s">
        <v>1570</v>
      </c>
      <c r="C48" s="23" t="s">
        <v>918</v>
      </c>
      <c r="D48" s="23" t="s">
        <v>1520</v>
      </c>
      <c r="E48" s="23">
        <v>12</v>
      </c>
      <c r="F48" s="23">
        <v>12</v>
      </c>
      <c r="G48" s="24">
        <v>0</v>
      </c>
      <c r="H48" s="25" t="s">
        <v>1607</v>
      </c>
    </row>
    <row r="49" spans="1:8" ht="127.5" x14ac:dyDescent="0.25">
      <c r="A49" s="26" t="s">
        <v>930</v>
      </c>
      <c r="B49" s="23" t="s">
        <v>1570</v>
      </c>
      <c r="C49" s="23" t="s">
        <v>918</v>
      </c>
      <c r="D49" s="23" t="s">
        <v>1520</v>
      </c>
      <c r="E49" s="23">
        <v>13</v>
      </c>
      <c r="F49" s="23">
        <v>13</v>
      </c>
      <c r="G49" s="24">
        <v>0</v>
      </c>
      <c r="H49" s="25" t="s">
        <v>1608</v>
      </c>
    </row>
    <row r="50" spans="1:8" ht="89.25" x14ac:dyDescent="0.25">
      <c r="A50" s="26" t="s">
        <v>930</v>
      </c>
      <c r="B50" s="23" t="s">
        <v>1570</v>
      </c>
      <c r="C50" s="23" t="s">
        <v>918</v>
      </c>
      <c r="D50" s="23" t="s">
        <v>1520</v>
      </c>
      <c r="E50" s="23">
        <v>14</v>
      </c>
      <c r="F50" s="23">
        <v>14</v>
      </c>
      <c r="G50" s="24">
        <v>0</v>
      </c>
      <c r="H50" s="25" t="s">
        <v>1609</v>
      </c>
    </row>
    <row r="51" spans="1:8" ht="165.75" x14ac:dyDescent="0.25">
      <c r="A51" s="26" t="s">
        <v>930</v>
      </c>
      <c r="B51" s="23" t="s">
        <v>1570</v>
      </c>
      <c r="C51" s="23" t="s">
        <v>918</v>
      </c>
      <c r="D51" s="23" t="s">
        <v>1520</v>
      </c>
      <c r="E51" s="23">
        <v>23</v>
      </c>
      <c r="F51" s="23">
        <v>23</v>
      </c>
      <c r="G51" s="24">
        <v>0</v>
      </c>
      <c r="H51" s="25" t="s">
        <v>1578</v>
      </c>
    </row>
    <row r="52" spans="1:8" ht="280.5" x14ac:dyDescent="0.25">
      <c r="A52" s="26" t="s">
        <v>930</v>
      </c>
      <c r="B52" s="23" t="s">
        <v>1570</v>
      </c>
      <c r="C52" s="23" t="s">
        <v>918</v>
      </c>
      <c r="D52" s="23" t="s">
        <v>1520</v>
      </c>
      <c r="E52" s="23">
        <v>24</v>
      </c>
      <c r="F52" s="23">
        <v>24</v>
      </c>
      <c r="G52" s="24">
        <v>0</v>
      </c>
      <c r="H52" s="25" t="s">
        <v>1579</v>
      </c>
    </row>
    <row r="53" spans="1:8" ht="191.25" x14ac:dyDescent="0.25">
      <c r="A53" s="26" t="s">
        <v>930</v>
      </c>
      <c r="B53" s="23" t="s">
        <v>1570</v>
      </c>
      <c r="C53" s="23" t="s">
        <v>918</v>
      </c>
      <c r="D53" s="23" t="s">
        <v>1520</v>
      </c>
      <c r="E53" s="23">
        <v>26</v>
      </c>
      <c r="F53" s="23">
        <v>26</v>
      </c>
      <c r="G53" s="24">
        <v>0</v>
      </c>
      <c r="H53" s="25" t="s">
        <v>1610</v>
      </c>
    </row>
    <row r="54" spans="1:8" ht="114.75" x14ac:dyDescent="0.25">
      <c r="A54" s="26" t="s">
        <v>930</v>
      </c>
      <c r="B54" s="23" t="s">
        <v>1570</v>
      </c>
      <c r="C54" s="23" t="s">
        <v>67</v>
      </c>
      <c r="D54" s="23" t="s">
        <v>1520</v>
      </c>
      <c r="E54" s="23">
        <v>14</v>
      </c>
      <c r="F54" s="23">
        <v>14</v>
      </c>
      <c r="G54" s="24">
        <v>0</v>
      </c>
      <c r="H54" s="25" t="s">
        <v>1611</v>
      </c>
    </row>
    <row r="55" spans="1:8" ht="89.25" x14ac:dyDescent="0.25">
      <c r="A55" s="26" t="s">
        <v>930</v>
      </c>
      <c r="B55" s="23" t="s">
        <v>1570</v>
      </c>
      <c r="C55" s="23" t="s">
        <v>67</v>
      </c>
      <c r="D55" s="23" t="s">
        <v>1520</v>
      </c>
      <c r="E55" s="23">
        <v>15</v>
      </c>
      <c r="F55" s="23">
        <v>15</v>
      </c>
      <c r="G55" s="24">
        <v>0</v>
      </c>
      <c r="H55" s="25" t="s">
        <v>1612</v>
      </c>
    </row>
    <row r="56" spans="1:8" ht="63.75" x14ac:dyDescent="0.25">
      <c r="A56" s="26" t="s">
        <v>930</v>
      </c>
      <c r="B56" s="23" t="s">
        <v>1570</v>
      </c>
      <c r="C56" s="23" t="s">
        <v>67</v>
      </c>
      <c r="D56" s="23" t="s">
        <v>1520</v>
      </c>
      <c r="E56" s="23">
        <v>28</v>
      </c>
      <c r="F56" s="23">
        <v>28</v>
      </c>
      <c r="G56" s="24">
        <v>0</v>
      </c>
      <c r="H56" s="25" t="s">
        <v>1613</v>
      </c>
    </row>
    <row r="57" spans="1:8" ht="63.75" x14ac:dyDescent="0.25">
      <c r="A57" s="26" t="s">
        <v>930</v>
      </c>
      <c r="B57" s="23" t="s">
        <v>1570</v>
      </c>
      <c r="C57" s="23" t="s">
        <v>67</v>
      </c>
      <c r="D57" s="23" t="s">
        <v>1520</v>
      </c>
      <c r="E57" s="23">
        <v>30</v>
      </c>
      <c r="F57" s="23">
        <v>30</v>
      </c>
      <c r="G57" s="24">
        <v>0</v>
      </c>
      <c r="H57" s="25" t="s">
        <v>1234</v>
      </c>
    </row>
    <row r="58" spans="1:8" ht="140.25" x14ac:dyDescent="0.25">
      <c r="A58" s="26" t="s">
        <v>930</v>
      </c>
      <c r="B58" s="23" t="s">
        <v>1570</v>
      </c>
      <c r="C58" s="23" t="s">
        <v>224</v>
      </c>
      <c r="D58" s="23" t="s">
        <v>1520</v>
      </c>
      <c r="E58" s="23">
        <v>8</v>
      </c>
      <c r="F58" s="23">
        <v>8</v>
      </c>
      <c r="G58" s="24">
        <v>0</v>
      </c>
      <c r="H58" s="25" t="s">
        <v>1614</v>
      </c>
    </row>
    <row r="59" spans="1:8" ht="102" x14ac:dyDescent="0.25">
      <c r="A59" s="26" t="s">
        <v>930</v>
      </c>
      <c r="B59" s="23" t="s">
        <v>1570</v>
      </c>
      <c r="C59" s="23" t="s">
        <v>654</v>
      </c>
      <c r="D59" s="23" t="s">
        <v>1521</v>
      </c>
      <c r="E59" s="23">
        <v>3</v>
      </c>
      <c r="F59" s="23">
        <v>4</v>
      </c>
      <c r="G59" s="24">
        <v>0</v>
      </c>
      <c r="H59" s="25" t="s">
        <v>1615</v>
      </c>
    </row>
    <row r="60" spans="1:8" ht="191.25" x14ac:dyDescent="0.25">
      <c r="A60" s="26" t="s">
        <v>930</v>
      </c>
      <c r="B60" s="23" t="s">
        <v>1570</v>
      </c>
      <c r="C60" s="23" t="s">
        <v>654</v>
      </c>
      <c r="D60" s="23" t="s">
        <v>1521</v>
      </c>
      <c r="E60" s="23">
        <v>6</v>
      </c>
      <c r="F60" s="23">
        <v>6</v>
      </c>
      <c r="G60" s="24">
        <v>0</v>
      </c>
      <c r="H60" s="25" t="s">
        <v>938</v>
      </c>
    </row>
    <row r="61" spans="1:8" ht="165.75" x14ac:dyDescent="0.25">
      <c r="A61" s="26" t="s">
        <v>930</v>
      </c>
      <c r="B61" s="23" t="s">
        <v>1570</v>
      </c>
      <c r="C61" s="23" t="s">
        <v>654</v>
      </c>
      <c r="D61" s="23" t="s">
        <v>1521</v>
      </c>
      <c r="E61" s="23">
        <v>7</v>
      </c>
      <c r="F61" s="23">
        <v>7</v>
      </c>
      <c r="G61" s="24">
        <v>0</v>
      </c>
      <c r="H61" s="25" t="s">
        <v>1616</v>
      </c>
    </row>
    <row r="62" spans="1:8" ht="140.25" x14ac:dyDescent="0.25">
      <c r="A62" s="26" t="s">
        <v>930</v>
      </c>
      <c r="B62" s="23" t="s">
        <v>1570</v>
      </c>
      <c r="C62" s="23" t="s">
        <v>654</v>
      </c>
      <c r="D62" s="23" t="s">
        <v>1521</v>
      </c>
      <c r="E62" s="23">
        <v>20</v>
      </c>
      <c r="F62" s="23">
        <v>20</v>
      </c>
      <c r="G62" s="24">
        <v>0</v>
      </c>
      <c r="H62" s="25" t="s">
        <v>1617</v>
      </c>
    </row>
    <row r="63" spans="1:8" ht="165.75" x14ac:dyDescent="0.25">
      <c r="A63" s="26" t="s">
        <v>930</v>
      </c>
      <c r="B63" s="23" t="s">
        <v>1570</v>
      </c>
      <c r="C63" s="23" t="s">
        <v>654</v>
      </c>
      <c r="D63" s="23" t="s">
        <v>1521</v>
      </c>
      <c r="E63" s="23">
        <v>21</v>
      </c>
      <c r="F63" s="23">
        <v>21</v>
      </c>
      <c r="G63" s="24">
        <v>0</v>
      </c>
      <c r="H63" s="25" t="s">
        <v>1572</v>
      </c>
    </row>
    <row r="64" spans="1:8" ht="114.75" x14ac:dyDescent="0.25">
      <c r="A64" s="26" t="s">
        <v>930</v>
      </c>
      <c r="B64" s="23" t="s">
        <v>1570</v>
      </c>
      <c r="C64" s="23" t="s">
        <v>654</v>
      </c>
      <c r="D64" s="23" t="s">
        <v>1521</v>
      </c>
      <c r="E64" s="23">
        <v>32</v>
      </c>
      <c r="F64" s="23">
        <v>32</v>
      </c>
      <c r="G64" s="24">
        <v>0</v>
      </c>
      <c r="H64" s="25" t="s">
        <v>931</v>
      </c>
    </row>
    <row r="65" spans="1:8" ht="102" x14ac:dyDescent="0.25">
      <c r="A65" s="26" t="s">
        <v>930</v>
      </c>
      <c r="B65" s="23" t="s">
        <v>1570</v>
      </c>
      <c r="C65" s="23" t="s">
        <v>21</v>
      </c>
      <c r="D65" s="23" t="s">
        <v>1521</v>
      </c>
      <c r="E65" s="23">
        <v>20</v>
      </c>
      <c r="F65" s="23">
        <v>20</v>
      </c>
      <c r="G65" s="24">
        <v>0</v>
      </c>
      <c r="H65" s="25" t="s">
        <v>1389</v>
      </c>
    </row>
    <row r="66" spans="1:8" ht="165.75" x14ac:dyDescent="0.25">
      <c r="A66" s="26" t="s">
        <v>930</v>
      </c>
      <c r="B66" s="23" t="s">
        <v>1570</v>
      </c>
      <c r="C66" s="23" t="s">
        <v>21</v>
      </c>
      <c r="D66" s="23" t="s">
        <v>1521</v>
      </c>
      <c r="E66" s="23">
        <v>43</v>
      </c>
      <c r="F66" s="23">
        <v>43</v>
      </c>
      <c r="G66" s="24">
        <v>0</v>
      </c>
      <c r="H66" s="25" t="s">
        <v>1618</v>
      </c>
    </row>
    <row r="67" spans="1:8" ht="76.5" x14ac:dyDescent="0.25">
      <c r="A67" s="26" t="s">
        <v>930</v>
      </c>
      <c r="B67" s="23" t="s">
        <v>1570</v>
      </c>
      <c r="C67" s="23" t="s">
        <v>918</v>
      </c>
      <c r="D67" s="23" t="s">
        <v>1521</v>
      </c>
      <c r="E67" s="23">
        <v>4</v>
      </c>
      <c r="F67" s="23">
        <v>4</v>
      </c>
      <c r="G67" s="24">
        <v>0</v>
      </c>
      <c r="H67" s="25" t="s">
        <v>1588</v>
      </c>
    </row>
    <row r="68" spans="1:8" ht="114.75" x14ac:dyDescent="0.25">
      <c r="A68" s="26" t="s">
        <v>930</v>
      </c>
      <c r="B68" s="23" t="s">
        <v>1570</v>
      </c>
      <c r="C68" s="23" t="s">
        <v>918</v>
      </c>
      <c r="D68" s="23" t="s">
        <v>1521</v>
      </c>
      <c r="E68" s="23">
        <v>8</v>
      </c>
      <c r="F68" s="23">
        <v>8</v>
      </c>
      <c r="G68" s="24">
        <v>0</v>
      </c>
      <c r="H68" s="25" t="s">
        <v>1604</v>
      </c>
    </row>
    <row r="69" spans="1:8" ht="153" x14ac:dyDescent="0.25">
      <c r="A69" s="26" t="s">
        <v>930</v>
      </c>
      <c r="B69" s="23" t="s">
        <v>1570</v>
      </c>
      <c r="C69" s="23" t="s">
        <v>918</v>
      </c>
      <c r="D69" s="23" t="s">
        <v>1521</v>
      </c>
      <c r="E69" s="23">
        <v>21</v>
      </c>
      <c r="F69" s="23">
        <v>21</v>
      </c>
      <c r="G69" s="24">
        <v>0</v>
      </c>
      <c r="H69" s="25" t="s">
        <v>1619</v>
      </c>
    </row>
    <row r="70" spans="1:8" ht="102" x14ac:dyDescent="0.25">
      <c r="A70" s="26" t="s">
        <v>930</v>
      </c>
      <c r="B70" s="23" t="s">
        <v>1570</v>
      </c>
      <c r="C70" s="23" t="s">
        <v>918</v>
      </c>
      <c r="D70" s="23" t="s">
        <v>1521</v>
      </c>
      <c r="E70" s="23">
        <v>22</v>
      </c>
      <c r="F70" s="23">
        <v>22</v>
      </c>
      <c r="G70" s="24">
        <v>0</v>
      </c>
      <c r="H70" s="25" t="s">
        <v>1620</v>
      </c>
    </row>
    <row r="71" spans="1:8" ht="204" x14ac:dyDescent="0.25">
      <c r="A71" s="26" t="s">
        <v>930</v>
      </c>
      <c r="B71" s="23" t="s">
        <v>1570</v>
      </c>
      <c r="C71" s="23" t="s">
        <v>918</v>
      </c>
      <c r="D71" s="23" t="s">
        <v>1521</v>
      </c>
      <c r="E71" s="23">
        <v>25</v>
      </c>
      <c r="F71" s="23">
        <v>25</v>
      </c>
      <c r="G71" s="24">
        <v>0</v>
      </c>
      <c r="H71" s="25" t="s">
        <v>1580</v>
      </c>
    </row>
    <row r="72" spans="1:8" ht="89.25" x14ac:dyDescent="0.25">
      <c r="A72" s="26" t="s">
        <v>930</v>
      </c>
      <c r="B72" s="23" t="s">
        <v>1570</v>
      </c>
      <c r="C72" s="23" t="s">
        <v>281</v>
      </c>
      <c r="D72" s="23" t="s">
        <v>1521</v>
      </c>
      <c r="E72" s="23">
        <v>14</v>
      </c>
      <c r="F72" s="23">
        <v>14</v>
      </c>
      <c r="G72" s="24">
        <v>0</v>
      </c>
      <c r="H72" s="25" t="s">
        <v>1582</v>
      </c>
    </row>
    <row r="73" spans="1:8" ht="102" x14ac:dyDescent="0.25">
      <c r="A73" s="26" t="s">
        <v>930</v>
      </c>
      <c r="B73" s="23" t="s">
        <v>1570</v>
      </c>
      <c r="C73" s="23" t="s">
        <v>281</v>
      </c>
      <c r="D73" s="23" t="s">
        <v>1521</v>
      </c>
      <c r="E73" s="23">
        <v>19</v>
      </c>
      <c r="F73" s="23">
        <v>19</v>
      </c>
      <c r="G73" s="24">
        <v>0</v>
      </c>
      <c r="H73" s="25" t="s">
        <v>1621</v>
      </c>
    </row>
    <row r="74" spans="1:8" ht="114.75" x14ac:dyDescent="0.25">
      <c r="A74" s="26" t="s">
        <v>930</v>
      </c>
      <c r="B74" s="23" t="s">
        <v>1570</v>
      </c>
      <c r="C74" s="23" t="s">
        <v>281</v>
      </c>
      <c r="D74" s="23" t="s">
        <v>1521</v>
      </c>
      <c r="E74" s="23">
        <v>26</v>
      </c>
      <c r="F74" s="23">
        <v>26</v>
      </c>
      <c r="G74" s="24">
        <v>0</v>
      </c>
      <c r="H74" s="25" t="s">
        <v>1589</v>
      </c>
    </row>
    <row r="75" spans="1:8" ht="165.75" x14ac:dyDescent="0.25">
      <c r="A75" s="26" t="s">
        <v>930</v>
      </c>
      <c r="B75" s="23" t="s">
        <v>1570</v>
      </c>
      <c r="C75" s="23" t="s">
        <v>281</v>
      </c>
      <c r="D75" s="23" t="s">
        <v>1521</v>
      </c>
      <c r="E75" s="23">
        <v>30</v>
      </c>
      <c r="F75" s="23">
        <v>30</v>
      </c>
      <c r="G75" s="24">
        <v>0</v>
      </c>
      <c r="H75" s="25" t="s">
        <v>1583</v>
      </c>
    </row>
    <row r="76" spans="1:8" ht="63.75" x14ac:dyDescent="0.25">
      <c r="A76" s="26" t="s">
        <v>930</v>
      </c>
      <c r="B76" s="23" t="s">
        <v>1570</v>
      </c>
      <c r="C76" s="23" t="s">
        <v>67</v>
      </c>
      <c r="D76" s="23" t="s">
        <v>1521</v>
      </c>
      <c r="E76" s="23">
        <v>31</v>
      </c>
      <c r="F76" s="23">
        <v>31</v>
      </c>
      <c r="G76" s="24">
        <v>0</v>
      </c>
      <c r="H76" s="25" t="s">
        <v>1233</v>
      </c>
    </row>
    <row r="77" spans="1:8" ht="102" x14ac:dyDescent="0.25">
      <c r="A77" s="26" t="s">
        <v>930</v>
      </c>
      <c r="B77" s="23" t="s">
        <v>1570</v>
      </c>
      <c r="C77" s="23" t="s">
        <v>224</v>
      </c>
      <c r="D77" s="23" t="s">
        <v>1521</v>
      </c>
      <c r="E77" s="23">
        <v>4</v>
      </c>
      <c r="F77" s="23">
        <v>4</v>
      </c>
      <c r="G77" s="24">
        <v>0</v>
      </c>
      <c r="H77" s="25" t="s">
        <v>1586</v>
      </c>
    </row>
    <row r="78" spans="1:8" ht="204" x14ac:dyDescent="0.25">
      <c r="A78" s="26" t="s">
        <v>930</v>
      </c>
      <c r="B78" s="23" t="s">
        <v>1570</v>
      </c>
      <c r="C78" s="23" t="s">
        <v>224</v>
      </c>
      <c r="D78" s="23" t="s">
        <v>1521</v>
      </c>
      <c r="E78" s="23">
        <v>20</v>
      </c>
      <c r="F78" s="23">
        <v>20</v>
      </c>
      <c r="G78" s="24">
        <v>0</v>
      </c>
      <c r="H78" s="25" t="s">
        <v>1006</v>
      </c>
    </row>
    <row r="79" spans="1:8" ht="89.25" x14ac:dyDescent="0.25">
      <c r="A79" s="27" t="s">
        <v>930</v>
      </c>
      <c r="B79" s="23" t="s">
        <v>1570</v>
      </c>
      <c r="C79" s="23" t="s">
        <v>67</v>
      </c>
      <c r="D79" s="23" t="s">
        <v>1532</v>
      </c>
      <c r="E79" s="23">
        <v>45</v>
      </c>
      <c r="F79" s="23">
        <v>45</v>
      </c>
      <c r="G79" s="24">
        <v>0</v>
      </c>
      <c r="H79" s="25" t="s">
        <v>1226</v>
      </c>
    </row>
    <row r="80" spans="1:8" ht="127.5" x14ac:dyDescent="0.25">
      <c r="A80" s="27" t="s">
        <v>930</v>
      </c>
      <c r="B80" s="23" t="s">
        <v>1570</v>
      </c>
      <c r="C80" s="23" t="s">
        <v>224</v>
      </c>
      <c r="D80" s="23" t="s">
        <v>1532</v>
      </c>
      <c r="E80" s="23">
        <v>13</v>
      </c>
      <c r="F80" s="23">
        <v>13</v>
      </c>
      <c r="G80" s="24">
        <v>0</v>
      </c>
      <c r="H80" s="25" t="s">
        <v>1011</v>
      </c>
    </row>
    <row r="81" spans="1:8" ht="89.25" x14ac:dyDescent="0.25">
      <c r="A81" s="27" t="s">
        <v>930</v>
      </c>
      <c r="B81" s="23" t="s">
        <v>1570</v>
      </c>
      <c r="C81" s="23" t="s">
        <v>654</v>
      </c>
      <c r="D81" s="23" t="s">
        <v>1524</v>
      </c>
      <c r="E81" s="23">
        <v>25</v>
      </c>
      <c r="F81" s="23">
        <v>25</v>
      </c>
      <c r="G81" s="24">
        <v>0</v>
      </c>
      <c r="H81" s="25" t="s">
        <v>1622</v>
      </c>
    </row>
    <row r="82" spans="1:8" ht="102" x14ac:dyDescent="0.25">
      <c r="A82" s="27" t="s">
        <v>930</v>
      </c>
      <c r="B82" s="23" t="s">
        <v>1570</v>
      </c>
      <c r="C82" s="23" t="s">
        <v>21</v>
      </c>
      <c r="D82" s="23" t="s">
        <v>1524</v>
      </c>
      <c r="E82" s="23">
        <v>19</v>
      </c>
      <c r="F82" s="23">
        <v>19</v>
      </c>
      <c r="G82" s="24">
        <v>0</v>
      </c>
      <c r="H82" s="25" t="s">
        <v>1390</v>
      </c>
    </row>
    <row r="83" spans="1:8" ht="114.75" x14ac:dyDescent="0.25">
      <c r="A83" s="27" t="s">
        <v>930</v>
      </c>
      <c r="B83" s="23" t="s">
        <v>1570</v>
      </c>
      <c r="C83" s="23" t="s">
        <v>21</v>
      </c>
      <c r="D83" s="23" t="s">
        <v>1524</v>
      </c>
      <c r="E83" s="23">
        <v>42</v>
      </c>
      <c r="F83" s="23">
        <v>42</v>
      </c>
      <c r="G83" s="24">
        <v>0</v>
      </c>
      <c r="H83" s="25" t="s">
        <v>1386</v>
      </c>
    </row>
    <row r="84" spans="1:8" ht="89.25" x14ac:dyDescent="0.25">
      <c r="A84" s="27" t="s">
        <v>930</v>
      </c>
      <c r="B84" s="23" t="s">
        <v>1570</v>
      </c>
      <c r="C84" s="23" t="s">
        <v>67</v>
      </c>
      <c r="D84" s="23" t="s">
        <v>1524</v>
      </c>
      <c r="E84" s="23">
        <v>27</v>
      </c>
      <c r="F84" s="23">
        <v>27</v>
      </c>
      <c r="G84" s="24">
        <v>0</v>
      </c>
      <c r="H84" s="25" t="s">
        <v>1584</v>
      </c>
    </row>
    <row r="85" spans="1:8" ht="63.75" x14ac:dyDescent="0.25">
      <c r="A85" s="27" t="s">
        <v>930</v>
      </c>
      <c r="B85" s="23" t="s">
        <v>1570</v>
      </c>
      <c r="C85" s="23" t="s">
        <v>67</v>
      </c>
      <c r="D85" s="23" t="s">
        <v>1524</v>
      </c>
      <c r="E85" s="23">
        <v>28</v>
      </c>
      <c r="F85" s="23">
        <v>28</v>
      </c>
      <c r="G85" s="24">
        <v>0</v>
      </c>
      <c r="H85" s="25" t="s">
        <v>1613</v>
      </c>
    </row>
    <row r="86" spans="1:8" ht="63.75" x14ac:dyDescent="0.25">
      <c r="A86" s="27" t="s">
        <v>930</v>
      </c>
      <c r="B86" s="23" t="s">
        <v>1570</v>
      </c>
      <c r="C86" s="23" t="s">
        <v>67</v>
      </c>
      <c r="D86" s="23" t="s">
        <v>1524</v>
      </c>
      <c r="E86" s="23">
        <v>30</v>
      </c>
      <c r="F86" s="23">
        <v>30</v>
      </c>
      <c r="G86" s="24">
        <v>0</v>
      </c>
      <c r="H86" s="25" t="s">
        <v>1234</v>
      </c>
    </row>
    <row r="87" spans="1:8" ht="114.75" x14ac:dyDescent="0.25">
      <c r="A87" s="27" t="s">
        <v>930</v>
      </c>
      <c r="B87" s="23" t="s">
        <v>1570</v>
      </c>
      <c r="C87" s="23" t="s">
        <v>67</v>
      </c>
      <c r="D87" s="23" t="s">
        <v>1524</v>
      </c>
      <c r="E87" s="23">
        <v>38</v>
      </c>
      <c r="F87" s="23">
        <v>38</v>
      </c>
      <c r="G87" s="24">
        <v>0</v>
      </c>
      <c r="H87" s="25" t="s">
        <v>1230</v>
      </c>
    </row>
    <row r="88" spans="1:8" ht="140.25" x14ac:dyDescent="0.25">
      <c r="A88" s="27" t="s">
        <v>930</v>
      </c>
      <c r="B88" s="23" t="s">
        <v>1570</v>
      </c>
      <c r="C88" s="23" t="s">
        <v>67</v>
      </c>
      <c r="D88" s="23" t="s">
        <v>1524</v>
      </c>
      <c r="E88" s="23">
        <v>39</v>
      </c>
      <c r="F88" s="23">
        <v>39</v>
      </c>
      <c r="G88" s="24">
        <v>0</v>
      </c>
      <c r="H88" s="25" t="s">
        <v>1229</v>
      </c>
    </row>
    <row r="89" spans="1:8" ht="127.5" x14ac:dyDescent="0.25">
      <c r="A89" s="27" t="s">
        <v>930</v>
      </c>
      <c r="B89" s="23" t="s">
        <v>1570</v>
      </c>
      <c r="C89" s="23" t="s">
        <v>224</v>
      </c>
      <c r="D89" s="23" t="s">
        <v>1524</v>
      </c>
      <c r="E89" s="23">
        <v>13</v>
      </c>
      <c r="F89" s="23">
        <v>13</v>
      </c>
      <c r="G89" s="24">
        <v>0</v>
      </c>
      <c r="H89" s="25" t="s">
        <v>1011</v>
      </c>
    </row>
    <row r="90" spans="1:8" ht="216.75" x14ac:dyDescent="0.25">
      <c r="A90" s="27" t="s">
        <v>930</v>
      </c>
      <c r="B90" s="23" t="s">
        <v>1570</v>
      </c>
      <c r="C90" s="23" t="s">
        <v>224</v>
      </c>
      <c r="D90" s="23" t="s">
        <v>1524</v>
      </c>
      <c r="E90" s="23">
        <v>21</v>
      </c>
      <c r="F90" s="23">
        <v>21</v>
      </c>
      <c r="G90" s="24">
        <v>0</v>
      </c>
      <c r="H90" s="25" t="s">
        <v>1623</v>
      </c>
    </row>
    <row r="91" spans="1:8" ht="38.25" x14ac:dyDescent="0.25">
      <c r="A91" s="27" t="s">
        <v>930</v>
      </c>
      <c r="B91" s="23" t="s">
        <v>1570</v>
      </c>
      <c r="C91" s="23" t="s">
        <v>67</v>
      </c>
      <c r="D91" s="23" t="s">
        <v>1526</v>
      </c>
      <c r="E91" s="23">
        <v>21</v>
      </c>
      <c r="F91" s="23">
        <v>21</v>
      </c>
      <c r="G91" s="24">
        <v>0</v>
      </c>
      <c r="H91" s="25" t="s">
        <v>1624</v>
      </c>
    </row>
    <row r="92" spans="1:8" ht="140.25" x14ac:dyDescent="0.25">
      <c r="A92" s="27" t="s">
        <v>930</v>
      </c>
      <c r="B92" s="23" t="s">
        <v>1570</v>
      </c>
      <c r="C92" s="23" t="s">
        <v>67</v>
      </c>
      <c r="D92" s="23" t="s">
        <v>1526</v>
      </c>
      <c r="E92" s="23">
        <v>39</v>
      </c>
      <c r="F92" s="23">
        <v>39</v>
      </c>
      <c r="G92" s="24">
        <v>0</v>
      </c>
      <c r="H92" s="25" t="s">
        <v>1229</v>
      </c>
    </row>
    <row r="93" spans="1:8" ht="229.5" x14ac:dyDescent="0.25">
      <c r="A93" s="27" t="s">
        <v>930</v>
      </c>
      <c r="B93" s="23" t="s">
        <v>1570</v>
      </c>
      <c r="C93" s="23" t="s">
        <v>654</v>
      </c>
      <c r="D93" s="23" t="s">
        <v>1527</v>
      </c>
      <c r="E93" s="23">
        <v>29</v>
      </c>
      <c r="F93" s="23">
        <v>31</v>
      </c>
      <c r="G93" s="24">
        <v>0</v>
      </c>
      <c r="H93" s="25" t="s">
        <v>1625</v>
      </c>
    </row>
    <row r="94" spans="1:8" ht="38.25" x14ac:dyDescent="0.25">
      <c r="A94" s="27" t="s">
        <v>930</v>
      </c>
      <c r="B94" s="23" t="s">
        <v>1570</v>
      </c>
      <c r="C94" s="23" t="s">
        <v>67</v>
      </c>
      <c r="D94" s="23" t="s">
        <v>1527</v>
      </c>
      <c r="E94" s="23">
        <v>21</v>
      </c>
      <c r="F94" s="23">
        <v>21</v>
      </c>
      <c r="G94" s="24">
        <v>0</v>
      </c>
      <c r="H94" s="25" t="s">
        <v>1624</v>
      </c>
    </row>
    <row r="95" spans="1:8" ht="114.75" x14ac:dyDescent="0.25">
      <c r="A95" s="27" t="s">
        <v>930</v>
      </c>
      <c r="B95" s="23" t="s">
        <v>1570</v>
      </c>
      <c r="C95" s="23" t="s">
        <v>224</v>
      </c>
      <c r="D95" s="23" t="s">
        <v>1527</v>
      </c>
      <c r="E95" s="23">
        <v>19</v>
      </c>
      <c r="F95" s="23">
        <v>19</v>
      </c>
      <c r="G95" s="24">
        <v>0</v>
      </c>
      <c r="H95" s="25" t="s">
        <v>1007</v>
      </c>
    </row>
    <row r="96" spans="1:8" ht="114.75" x14ac:dyDescent="0.25">
      <c r="A96" s="27" t="s">
        <v>930</v>
      </c>
      <c r="B96" s="23" t="s">
        <v>1570</v>
      </c>
      <c r="C96" s="23" t="s">
        <v>918</v>
      </c>
      <c r="D96" s="23" t="s">
        <v>1528</v>
      </c>
      <c r="E96" s="23">
        <v>10</v>
      </c>
      <c r="F96" s="23">
        <v>10</v>
      </c>
      <c r="G96" s="24">
        <v>0</v>
      </c>
      <c r="H96" s="25" t="s">
        <v>1606</v>
      </c>
    </row>
    <row r="97" spans="1:8" ht="165.75" x14ac:dyDescent="0.25">
      <c r="A97" s="27" t="s">
        <v>930</v>
      </c>
      <c r="B97" s="23" t="s">
        <v>1570</v>
      </c>
      <c r="C97" s="23" t="s">
        <v>918</v>
      </c>
      <c r="D97" s="23" t="s">
        <v>1528</v>
      </c>
      <c r="E97" s="23">
        <v>12</v>
      </c>
      <c r="F97" s="23">
        <v>12</v>
      </c>
      <c r="G97" s="24">
        <v>0</v>
      </c>
      <c r="H97" s="25" t="s">
        <v>1607</v>
      </c>
    </row>
    <row r="98" spans="1:8" ht="127.5" x14ac:dyDescent="0.25">
      <c r="A98" s="27" t="s">
        <v>930</v>
      </c>
      <c r="B98" s="23" t="s">
        <v>1570</v>
      </c>
      <c r="C98" s="23" t="s">
        <v>918</v>
      </c>
      <c r="D98" s="23" t="s">
        <v>1528</v>
      </c>
      <c r="E98" s="23">
        <v>13</v>
      </c>
      <c r="F98" s="23">
        <v>13</v>
      </c>
      <c r="G98" s="24">
        <v>0</v>
      </c>
      <c r="H98" s="25" t="s">
        <v>1608</v>
      </c>
    </row>
    <row r="99" spans="1:8" ht="204" x14ac:dyDescent="0.25">
      <c r="A99" s="27" t="s">
        <v>930</v>
      </c>
      <c r="B99" s="23" t="s">
        <v>1570</v>
      </c>
      <c r="C99" s="23" t="s">
        <v>918</v>
      </c>
      <c r="D99" s="23" t="s">
        <v>1528</v>
      </c>
      <c r="E99" s="23">
        <v>27</v>
      </c>
      <c r="F99" s="23">
        <v>27</v>
      </c>
      <c r="G99" s="24">
        <v>0</v>
      </c>
      <c r="H99" s="25" t="s">
        <v>1626</v>
      </c>
    </row>
    <row r="100" spans="1:8" ht="127.5" x14ac:dyDescent="0.25">
      <c r="A100" s="27" t="s">
        <v>930</v>
      </c>
      <c r="B100" s="23" t="s">
        <v>1570</v>
      </c>
      <c r="C100" s="23" t="s">
        <v>281</v>
      </c>
      <c r="D100" s="23" t="s">
        <v>1528</v>
      </c>
      <c r="E100" s="23">
        <v>10</v>
      </c>
      <c r="F100" s="23">
        <v>10</v>
      </c>
      <c r="G100" s="24">
        <v>0</v>
      </c>
      <c r="H100" s="25" t="s">
        <v>1581</v>
      </c>
    </row>
    <row r="101" spans="1:8" ht="89.25" x14ac:dyDescent="0.25">
      <c r="A101" s="27" t="s">
        <v>930</v>
      </c>
      <c r="B101" s="23" t="s">
        <v>1570</v>
      </c>
      <c r="C101" s="23" t="s">
        <v>281</v>
      </c>
      <c r="D101" s="23" t="s">
        <v>1528</v>
      </c>
      <c r="E101" s="23">
        <v>14</v>
      </c>
      <c r="F101" s="23">
        <v>14</v>
      </c>
      <c r="G101" s="24">
        <v>0</v>
      </c>
      <c r="H101" s="25" t="s">
        <v>1582</v>
      </c>
    </row>
    <row r="102" spans="1:8" ht="102" x14ac:dyDescent="0.25">
      <c r="A102" s="27" t="s">
        <v>930</v>
      </c>
      <c r="B102" s="23" t="s">
        <v>1570</v>
      </c>
      <c r="C102" s="23" t="s">
        <v>67</v>
      </c>
      <c r="D102" s="23" t="s">
        <v>1528</v>
      </c>
      <c r="E102" s="23">
        <v>12</v>
      </c>
      <c r="F102" s="23">
        <v>12</v>
      </c>
      <c r="G102" s="24">
        <v>0</v>
      </c>
      <c r="H102" s="25" t="s">
        <v>1627</v>
      </c>
    </row>
    <row r="103" spans="1:8" ht="38.25" x14ac:dyDescent="0.25">
      <c r="A103" s="27" t="s">
        <v>930</v>
      </c>
      <c r="B103" s="23" t="s">
        <v>1570</v>
      </c>
      <c r="C103" s="23" t="s">
        <v>67</v>
      </c>
      <c r="D103" s="23" t="s">
        <v>1528</v>
      </c>
      <c r="E103" s="23">
        <v>22</v>
      </c>
      <c r="F103" s="23">
        <v>22</v>
      </c>
      <c r="G103" s="24">
        <v>0</v>
      </c>
      <c r="H103" s="25" t="s">
        <v>1628</v>
      </c>
    </row>
    <row r="104" spans="1:8" ht="38.25" x14ac:dyDescent="0.25">
      <c r="A104" s="27" t="s">
        <v>930</v>
      </c>
      <c r="B104" s="23" t="s">
        <v>1570</v>
      </c>
      <c r="C104" s="23" t="s">
        <v>67</v>
      </c>
      <c r="D104" s="23" t="s">
        <v>1528</v>
      </c>
      <c r="E104" s="23">
        <v>24</v>
      </c>
      <c r="F104" s="23">
        <v>24</v>
      </c>
      <c r="G104" s="24">
        <v>0</v>
      </c>
      <c r="H104" s="25" t="s">
        <v>1629</v>
      </c>
    </row>
    <row r="105" spans="1:8" ht="255" x14ac:dyDescent="0.25">
      <c r="A105" s="27" t="s">
        <v>930</v>
      </c>
      <c r="B105" s="23" t="s">
        <v>1570</v>
      </c>
      <c r="C105" s="23" t="s">
        <v>67</v>
      </c>
      <c r="D105" s="23" t="s">
        <v>1528</v>
      </c>
      <c r="E105" s="23">
        <v>42</v>
      </c>
      <c r="F105" s="23">
        <v>42</v>
      </c>
      <c r="G105" s="24">
        <v>0</v>
      </c>
      <c r="H105" s="25" t="s">
        <v>1598</v>
      </c>
    </row>
    <row r="106" spans="1:8" ht="140.25" x14ac:dyDescent="0.25">
      <c r="A106" s="27" t="s">
        <v>930</v>
      </c>
      <c r="B106" s="23" t="s">
        <v>1570</v>
      </c>
      <c r="C106" s="23" t="s">
        <v>224</v>
      </c>
      <c r="D106" s="23" t="s">
        <v>1528</v>
      </c>
      <c r="E106" s="23">
        <v>6</v>
      </c>
      <c r="F106" s="23">
        <v>6</v>
      </c>
      <c r="G106" s="24">
        <v>0</v>
      </c>
      <c r="H106" s="25" t="s">
        <v>1587</v>
      </c>
    </row>
    <row r="107" spans="1:8" ht="102" x14ac:dyDescent="0.25">
      <c r="A107" s="27" t="s">
        <v>930</v>
      </c>
      <c r="B107" s="23" t="s">
        <v>1570</v>
      </c>
      <c r="C107" s="23" t="s">
        <v>224</v>
      </c>
      <c r="D107" s="23" t="s">
        <v>1528</v>
      </c>
      <c r="E107" s="23">
        <v>10</v>
      </c>
      <c r="F107" s="23">
        <v>10</v>
      </c>
      <c r="G107" s="24">
        <v>0</v>
      </c>
      <c r="H107" s="25" t="s">
        <v>1630</v>
      </c>
    </row>
    <row r="108" spans="1:8" ht="102" x14ac:dyDescent="0.25">
      <c r="A108" s="27" t="s">
        <v>930</v>
      </c>
      <c r="B108" s="23" t="s">
        <v>1570</v>
      </c>
      <c r="C108" s="23" t="s">
        <v>654</v>
      </c>
      <c r="D108" s="23" t="s">
        <v>1529</v>
      </c>
      <c r="E108" s="23">
        <v>3</v>
      </c>
      <c r="F108" s="23">
        <v>4</v>
      </c>
      <c r="G108" s="24">
        <v>0</v>
      </c>
      <c r="H108" s="25" t="s">
        <v>1615</v>
      </c>
    </row>
    <row r="109" spans="1:8" ht="191.25" x14ac:dyDescent="0.25">
      <c r="A109" s="27" t="s">
        <v>930</v>
      </c>
      <c r="B109" s="23" t="s">
        <v>1570</v>
      </c>
      <c r="C109" s="23" t="s">
        <v>654</v>
      </c>
      <c r="D109" s="23" t="s">
        <v>1529</v>
      </c>
      <c r="E109" s="23">
        <v>6</v>
      </c>
      <c r="F109" s="23">
        <v>6</v>
      </c>
      <c r="G109" s="24">
        <v>0</v>
      </c>
      <c r="H109" s="25" t="s">
        <v>938</v>
      </c>
    </row>
    <row r="110" spans="1:8" ht="140.25" x14ac:dyDescent="0.25">
      <c r="A110" s="27" t="s">
        <v>930</v>
      </c>
      <c r="B110" s="23" t="s">
        <v>1570</v>
      </c>
      <c r="C110" s="23" t="s">
        <v>654</v>
      </c>
      <c r="D110" s="23" t="s">
        <v>1529</v>
      </c>
      <c r="E110" s="23">
        <v>15</v>
      </c>
      <c r="F110" s="23">
        <v>15</v>
      </c>
      <c r="G110" s="24">
        <v>0</v>
      </c>
      <c r="H110" s="25" t="s">
        <v>1631</v>
      </c>
    </row>
    <row r="111" spans="1:8" ht="127.5" x14ac:dyDescent="0.25">
      <c r="A111" s="27" t="s">
        <v>930</v>
      </c>
      <c r="B111" s="23" t="s">
        <v>1570</v>
      </c>
      <c r="C111" s="23" t="s">
        <v>654</v>
      </c>
      <c r="D111" s="23" t="s">
        <v>1529</v>
      </c>
      <c r="E111" s="23">
        <v>16</v>
      </c>
      <c r="F111" s="23">
        <v>16</v>
      </c>
      <c r="G111" s="24">
        <v>0</v>
      </c>
      <c r="H111" s="25" t="s">
        <v>1596</v>
      </c>
    </row>
    <row r="112" spans="1:8" ht="114.75" x14ac:dyDescent="0.25">
      <c r="A112" s="27" t="s">
        <v>930</v>
      </c>
      <c r="B112" s="23" t="s">
        <v>1570</v>
      </c>
      <c r="C112" s="23" t="s">
        <v>654</v>
      </c>
      <c r="D112" s="23" t="s">
        <v>1529</v>
      </c>
      <c r="E112" s="23">
        <v>27</v>
      </c>
      <c r="F112" s="23">
        <v>27</v>
      </c>
      <c r="G112" s="24">
        <v>0</v>
      </c>
      <c r="H112" s="25" t="s">
        <v>1632</v>
      </c>
    </row>
    <row r="113" spans="1:8" ht="229.5" x14ac:dyDescent="0.25">
      <c r="A113" s="27" t="s">
        <v>930</v>
      </c>
      <c r="B113" s="23" t="s">
        <v>1570</v>
      </c>
      <c r="C113" s="23" t="s">
        <v>654</v>
      </c>
      <c r="D113" s="23" t="s">
        <v>1529</v>
      </c>
      <c r="E113" s="23">
        <v>29</v>
      </c>
      <c r="F113" s="23">
        <v>31</v>
      </c>
      <c r="G113" s="24">
        <v>0</v>
      </c>
      <c r="H113" s="25" t="s">
        <v>1625</v>
      </c>
    </row>
    <row r="114" spans="1:8" ht="89.25" x14ac:dyDescent="0.25">
      <c r="A114" s="27" t="s">
        <v>930</v>
      </c>
      <c r="B114" s="23" t="s">
        <v>1570</v>
      </c>
      <c r="C114" s="23" t="s">
        <v>918</v>
      </c>
      <c r="D114" s="23" t="s">
        <v>1529</v>
      </c>
      <c r="E114" s="23">
        <v>14</v>
      </c>
      <c r="F114" s="23">
        <v>14</v>
      </c>
      <c r="G114" s="24">
        <v>0</v>
      </c>
      <c r="H114" s="25" t="s">
        <v>1609</v>
      </c>
    </row>
    <row r="115" spans="1:8" ht="280.5" x14ac:dyDescent="0.25">
      <c r="A115" s="27" t="s">
        <v>930</v>
      </c>
      <c r="B115" s="23" t="s">
        <v>1570</v>
      </c>
      <c r="C115" s="23" t="s">
        <v>918</v>
      </c>
      <c r="D115" s="23" t="s">
        <v>1529</v>
      </c>
      <c r="E115" s="23">
        <v>24</v>
      </c>
      <c r="F115" s="23">
        <v>24</v>
      </c>
      <c r="G115" s="24">
        <v>0</v>
      </c>
      <c r="H115" s="25" t="s">
        <v>1579</v>
      </c>
    </row>
    <row r="116" spans="1:8" ht="63.75" x14ac:dyDescent="0.25">
      <c r="A116" s="27" t="s">
        <v>930</v>
      </c>
      <c r="B116" s="23" t="s">
        <v>1570</v>
      </c>
      <c r="C116" s="23" t="s">
        <v>67</v>
      </c>
      <c r="D116" s="23" t="s">
        <v>1529</v>
      </c>
      <c r="E116" s="23">
        <v>30</v>
      </c>
      <c r="F116" s="23">
        <v>30</v>
      </c>
      <c r="G116" s="24">
        <v>0</v>
      </c>
      <c r="H116" s="25" t="s">
        <v>1234</v>
      </c>
    </row>
    <row r="117" spans="1:8" ht="255" x14ac:dyDescent="0.25">
      <c r="A117" s="27" t="s">
        <v>930</v>
      </c>
      <c r="B117" s="23" t="s">
        <v>1570</v>
      </c>
      <c r="C117" s="23" t="s">
        <v>67</v>
      </c>
      <c r="D117" s="23" t="s">
        <v>1529</v>
      </c>
      <c r="E117" s="23">
        <v>42</v>
      </c>
      <c r="F117" s="23">
        <v>42</v>
      </c>
      <c r="G117" s="24">
        <v>0</v>
      </c>
      <c r="H117" s="25" t="s">
        <v>1598</v>
      </c>
    </row>
    <row r="118" spans="1:8" ht="89.25" x14ac:dyDescent="0.25">
      <c r="A118" s="27" t="s">
        <v>930</v>
      </c>
      <c r="B118" s="23" t="s">
        <v>1570</v>
      </c>
      <c r="C118" s="23" t="s">
        <v>67</v>
      </c>
      <c r="D118" s="23" t="s">
        <v>1529</v>
      </c>
      <c r="E118" s="23">
        <v>45</v>
      </c>
      <c r="F118" s="23">
        <v>45</v>
      </c>
      <c r="G118" s="24">
        <v>0</v>
      </c>
      <c r="H118" s="25" t="s">
        <v>1226</v>
      </c>
    </row>
    <row r="119" spans="1:8" ht="127.5" x14ac:dyDescent="0.25">
      <c r="A119" s="27" t="s">
        <v>930</v>
      </c>
      <c r="B119" s="23" t="s">
        <v>1570</v>
      </c>
      <c r="C119" s="23" t="s">
        <v>654</v>
      </c>
      <c r="D119" s="23" t="s">
        <v>1530</v>
      </c>
      <c r="E119" s="23">
        <v>9</v>
      </c>
      <c r="F119" s="23">
        <v>9</v>
      </c>
      <c r="G119" s="24">
        <v>0</v>
      </c>
      <c r="H119" s="25" t="s">
        <v>1599</v>
      </c>
    </row>
    <row r="120" spans="1:8" ht="140.25" x14ac:dyDescent="0.25">
      <c r="A120" s="27" t="s">
        <v>930</v>
      </c>
      <c r="B120" s="23" t="s">
        <v>1570</v>
      </c>
      <c r="C120" s="23" t="s">
        <v>654</v>
      </c>
      <c r="D120" s="23" t="s">
        <v>1530</v>
      </c>
      <c r="E120" s="23">
        <v>10</v>
      </c>
      <c r="F120" s="23">
        <v>10</v>
      </c>
      <c r="G120" s="24">
        <v>0</v>
      </c>
      <c r="H120" s="25" t="s">
        <v>1600</v>
      </c>
    </row>
    <row r="121" spans="1:8" ht="127.5" x14ac:dyDescent="0.25">
      <c r="A121" s="27" t="s">
        <v>930</v>
      </c>
      <c r="B121" s="23" t="s">
        <v>1570</v>
      </c>
      <c r="C121" s="23" t="s">
        <v>654</v>
      </c>
      <c r="D121" s="23" t="s">
        <v>1530</v>
      </c>
      <c r="E121" s="23">
        <v>11</v>
      </c>
      <c r="F121" s="23">
        <v>11</v>
      </c>
      <c r="G121" s="24">
        <v>0</v>
      </c>
      <c r="H121" s="25" t="s">
        <v>1571</v>
      </c>
    </row>
    <row r="122" spans="1:8" ht="127.5" x14ac:dyDescent="0.25">
      <c r="A122" s="27" t="s">
        <v>930</v>
      </c>
      <c r="B122" s="23" t="s">
        <v>1570</v>
      </c>
      <c r="C122" s="23" t="s">
        <v>654</v>
      </c>
      <c r="D122" s="23" t="s">
        <v>1530</v>
      </c>
      <c r="E122" s="23">
        <v>12</v>
      </c>
      <c r="F122" s="23">
        <v>12</v>
      </c>
      <c r="G122" s="24">
        <v>0</v>
      </c>
      <c r="H122" s="25" t="s">
        <v>1633</v>
      </c>
    </row>
    <row r="123" spans="1:8" ht="153" x14ac:dyDescent="0.25">
      <c r="A123" s="27" t="s">
        <v>930</v>
      </c>
      <c r="B123" s="23" t="s">
        <v>1570</v>
      </c>
      <c r="C123" s="23" t="s">
        <v>654</v>
      </c>
      <c r="D123" s="23" t="s">
        <v>1530</v>
      </c>
      <c r="E123" s="23">
        <v>19</v>
      </c>
      <c r="F123" s="23">
        <v>19</v>
      </c>
      <c r="G123" s="24">
        <v>0</v>
      </c>
      <c r="H123" s="25" t="s">
        <v>1601</v>
      </c>
    </row>
    <row r="124" spans="1:8" ht="140.25" x14ac:dyDescent="0.25">
      <c r="A124" s="27" t="s">
        <v>930</v>
      </c>
      <c r="B124" s="23" t="s">
        <v>1570</v>
      </c>
      <c r="C124" s="23" t="s">
        <v>654</v>
      </c>
      <c r="D124" s="23" t="s">
        <v>1530</v>
      </c>
      <c r="E124" s="23">
        <v>20</v>
      </c>
      <c r="F124" s="23">
        <v>20</v>
      </c>
      <c r="G124" s="24">
        <v>0</v>
      </c>
      <c r="H124" s="25" t="s">
        <v>1617</v>
      </c>
    </row>
    <row r="125" spans="1:8" ht="102" x14ac:dyDescent="0.25">
      <c r="A125" s="27" t="s">
        <v>930</v>
      </c>
      <c r="B125" s="23" t="s">
        <v>1570</v>
      </c>
      <c r="C125" s="23" t="s">
        <v>654</v>
      </c>
      <c r="D125" s="23" t="s">
        <v>1530</v>
      </c>
      <c r="E125" s="23">
        <v>26</v>
      </c>
      <c r="F125" s="23">
        <v>26</v>
      </c>
      <c r="G125" s="24">
        <v>0</v>
      </c>
      <c r="H125" s="25" t="s">
        <v>1634</v>
      </c>
    </row>
    <row r="126" spans="1:8" ht="114.75" x14ac:dyDescent="0.25">
      <c r="A126" s="27" t="s">
        <v>930</v>
      </c>
      <c r="B126" s="23" t="s">
        <v>1570</v>
      </c>
      <c r="C126" s="23" t="s">
        <v>654</v>
      </c>
      <c r="D126" s="23" t="s">
        <v>1530</v>
      </c>
      <c r="E126" s="23">
        <v>27</v>
      </c>
      <c r="F126" s="23">
        <v>27</v>
      </c>
      <c r="G126" s="24">
        <v>0</v>
      </c>
      <c r="H126" s="25" t="s">
        <v>1632</v>
      </c>
    </row>
    <row r="127" spans="1:8" ht="102" x14ac:dyDescent="0.25">
      <c r="A127" s="27" t="s">
        <v>930</v>
      </c>
      <c r="B127" s="23" t="s">
        <v>1570</v>
      </c>
      <c r="C127" s="23" t="s">
        <v>654</v>
      </c>
      <c r="D127" s="23" t="s">
        <v>1530</v>
      </c>
      <c r="E127" s="23">
        <v>36</v>
      </c>
      <c r="F127" s="23">
        <v>36</v>
      </c>
      <c r="G127" s="24">
        <v>0</v>
      </c>
      <c r="H127" s="25" t="s">
        <v>1603</v>
      </c>
    </row>
    <row r="128" spans="1:8" ht="114.75" x14ac:dyDescent="0.25">
      <c r="A128" s="27" t="s">
        <v>930</v>
      </c>
      <c r="B128" s="23" t="s">
        <v>1570</v>
      </c>
      <c r="C128" s="23" t="s">
        <v>21</v>
      </c>
      <c r="D128" s="23" t="s">
        <v>1530</v>
      </c>
      <c r="E128" s="23">
        <v>17</v>
      </c>
      <c r="F128" s="23">
        <v>17</v>
      </c>
      <c r="G128" s="24">
        <v>0</v>
      </c>
      <c r="H128" s="25" t="s">
        <v>1635</v>
      </c>
    </row>
    <row r="129" spans="1:8" ht="102" x14ac:dyDescent="0.25">
      <c r="A129" s="27" t="s">
        <v>930</v>
      </c>
      <c r="B129" s="23" t="s">
        <v>1570</v>
      </c>
      <c r="C129" s="23" t="s">
        <v>21</v>
      </c>
      <c r="D129" s="23" t="s">
        <v>1530</v>
      </c>
      <c r="E129" s="23">
        <v>20</v>
      </c>
      <c r="F129" s="23">
        <v>20</v>
      </c>
      <c r="G129" s="24">
        <v>0</v>
      </c>
      <c r="H129" s="25" t="s">
        <v>1389</v>
      </c>
    </row>
    <row r="130" spans="1:8" ht="114.75" x14ac:dyDescent="0.25">
      <c r="A130" s="27" t="s">
        <v>930</v>
      </c>
      <c r="B130" s="23" t="s">
        <v>1570</v>
      </c>
      <c r="C130" s="23" t="s">
        <v>21</v>
      </c>
      <c r="D130" s="23" t="s">
        <v>1530</v>
      </c>
      <c r="E130" s="23">
        <v>42</v>
      </c>
      <c r="F130" s="23">
        <v>42</v>
      </c>
      <c r="G130" s="24">
        <v>0</v>
      </c>
      <c r="H130" s="25" t="s">
        <v>1386</v>
      </c>
    </row>
    <row r="131" spans="1:8" ht="114.75" x14ac:dyDescent="0.25">
      <c r="A131" s="27" t="s">
        <v>930</v>
      </c>
      <c r="B131" s="23" t="s">
        <v>1570</v>
      </c>
      <c r="C131" s="23" t="s">
        <v>918</v>
      </c>
      <c r="D131" s="23" t="s">
        <v>1530</v>
      </c>
      <c r="E131" s="23">
        <v>8</v>
      </c>
      <c r="F131" s="23">
        <v>8</v>
      </c>
      <c r="G131" s="24">
        <v>0</v>
      </c>
      <c r="H131" s="25" t="s">
        <v>1604</v>
      </c>
    </row>
    <row r="132" spans="1:8" ht="51" x14ac:dyDescent="0.25">
      <c r="A132" s="27" t="s">
        <v>930</v>
      </c>
      <c r="B132" s="23" t="s">
        <v>1570</v>
      </c>
      <c r="C132" s="23" t="s">
        <v>918</v>
      </c>
      <c r="D132" s="23" t="s">
        <v>1530</v>
      </c>
      <c r="E132" s="23">
        <v>16</v>
      </c>
      <c r="F132" s="23">
        <v>16</v>
      </c>
      <c r="G132" s="24">
        <v>0</v>
      </c>
      <c r="H132" s="25" t="s">
        <v>1577</v>
      </c>
    </row>
    <row r="133" spans="1:8" ht="38.25" x14ac:dyDescent="0.25">
      <c r="A133" s="27" t="s">
        <v>930</v>
      </c>
      <c r="B133" s="23" t="s">
        <v>1570</v>
      </c>
      <c r="C133" s="23" t="s">
        <v>918</v>
      </c>
      <c r="D133" s="23" t="s">
        <v>1530</v>
      </c>
      <c r="E133" s="23">
        <v>17</v>
      </c>
      <c r="F133" s="23">
        <v>17</v>
      </c>
      <c r="G133" s="24">
        <v>0</v>
      </c>
      <c r="H133" s="25" t="s">
        <v>1636</v>
      </c>
    </row>
    <row r="134" spans="1:8" ht="51" x14ac:dyDescent="0.25">
      <c r="A134" s="27" t="s">
        <v>930</v>
      </c>
      <c r="B134" s="23" t="s">
        <v>1570</v>
      </c>
      <c r="C134" s="23" t="s">
        <v>918</v>
      </c>
      <c r="D134" s="23" t="s">
        <v>1530</v>
      </c>
      <c r="E134" s="23">
        <v>18</v>
      </c>
      <c r="F134" s="23">
        <v>18</v>
      </c>
      <c r="G134" s="24">
        <v>0</v>
      </c>
      <c r="H134" s="25" t="s">
        <v>1637</v>
      </c>
    </row>
    <row r="135" spans="1:8" ht="38.25" x14ac:dyDescent="0.25">
      <c r="A135" s="27" t="s">
        <v>930</v>
      </c>
      <c r="B135" s="23" t="s">
        <v>1570</v>
      </c>
      <c r="C135" s="23" t="s">
        <v>918</v>
      </c>
      <c r="D135" s="23" t="s">
        <v>1530</v>
      </c>
      <c r="E135" s="23">
        <v>19</v>
      </c>
      <c r="F135" s="23">
        <v>19</v>
      </c>
      <c r="G135" s="24">
        <v>0</v>
      </c>
      <c r="H135" s="25" t="s">
        <v>1638</v>
      </c>
    </row>
    <row r="136" spans="1:8" ht="165.75" x14ac:dyDescent="0.25">
      <c r="A136" s="27" t="s">
        <v>930</v>
      </c>
      <c r="B136" s="23" t="s">
        <v>1570</v>
      </c>
      <c r="C136" s="23" t="s">
        <v>918</v>
      </c>
      <c r="D136" s="23" t="s">
        <v>1530</v>
      </c>
      <c r="E136" s="23">
        <v>23</v>
      </c>
      <c r="F136" s="23">
        <v>23</v>
      </c>
      <c r="G136" s="24">
        <v>0</v>
      </c>
      <c r="H136" s="25" t="s">
        <v>1578</v>
      </c>
    </row>
    <row r="137" spans="1:8" ht="25.5" x14ac:dyDescent="0.25">
      <c r="A137" s="27" t="s">
        <v>930</v>
      </c>
      <c r="B137" s="23" t="s">
        <v>1570</v>
      </c>
      <c r="C137" s="23" t="s">
        <v>67</v>
      </c>
      <c r="D137" s="23" t="s">
        <v>1530</v>
      </c>
      <c r="E137" s="23">
        <v>20</v>
      </c>
      <c r="F137" s="23">
        <v>20</v>
      </c>
      <c r="G137" s="24">
        <v>0</v>
      </c>
      <c r="H137" s="25" t="s">
        <v>1639</v>
      </c>
    </row>
    <row r="138" spans="1:8" ht="89.25" x14ac:dyDescent="0.25">
      <c r="A138" s="27" t="s">
        <v>930</v>
      </c>
      <c r="B138" s="23" t="s">
        <v>1570</v>
      </c>
      <c r="C138" s="23" t="s">
        <v>67</v>
      </c>
      <c r="D138" s="23" t="s">
        <v>1530</v>
      </c>
      <c r="E138" s="23">
        <v>27</v>
      </c>
      <c r="F138" s="23">
        <v>27</v>
      </c>
      <c r="G138" s="24">
        <v>0</v>
      </c>
      <c r="H138" s="25" t="s">
        <v>1584</v>
      </c>
    </row>
    <row r="139" spans="1:8" ht="63.75" x14ac:dyDescent="0.25">
      <c r="A139" s="27" t="s">
        <v>930</v>
      </c>
      <c r="B139" s="23" t="s">
        <v>1570</v>
      </c>
      <c r="C139" s="23" t="s">
        <v>67</v>
      </c>
      <c r="D139" s="23" t="s">
        <v>1530</v>
      </c>
      <c r="E139" s="23">
        <v>28</v>
      </c>
      <c r="F139" s="23">
        <v>28</v>
      </c>
      <c r="G139" s="24">
        <v>0</v>
      </c>
      <c r="H139" s="25" t="s">
        <v>1613</v>
      </c>
    </row>
    <row r="140" spans="1:8" ht="140.25" x14ac:dyDescent="0.25">
      <c r="A140" s="27" t="s">
        <v>930</v>
      </c>
      <c r="B140" s="23" t="s">
        <v>1570</v>
      </c>
      <c r="C140" s="23" t="s">
        <v>67</v>
      </c>
      <c r="D140" s="23" t="s">
        <v>1530</v>
      </c>
      <c r="E140" s="23">
        <v>39</v>
      </c>
      <c r="F140" s="23">
        <v>39</v>
      </c>
      <c r="G140" s="24">
        <v>0</v>
      </c>
      <c r="H140" s="25" t="s">
        <v>1229</v>
      </c>
    </row>
    <row r="141" spans="1:8" ht="140.25" x14ac:dyDescent="0.25">
      <c r="A141" s="27" t="s">
        <v>930</v>
      </c>
      <c r="B141" s="23" t="s">
        <v>1570</v>
      </c>
      <c r="C141" s="23" t="s">
        <v>224</v>
      </c>
      <c r="D141" s="23" t="s">
        <v>1530</v>
      </c>
      <c r="E141" s="23">
        <v>6</v>
      </c>
      <c r="F141" s="23">
        <v>6</v>
      </c>
      <c r="G141" s="24">
        <v>0</v>
      </c>
      <c r="H141" s="25" t="s">
        <v>1587</v>
      </c>
    </row>
    <row r="142" spans="1:8" ht="127.5" x14ac:dyDescent="0.25">
      <c r="A142" s="27" t="s">
        <v>930</v>
      </c>
      <c r="B142" s="23" t="s">
        <v>1570</v>
      </c>
      <c r="C142" s="23" t="s">
        <v>224</v>
      </c>
      <c r="D142" s="23" t="s">
        <v>1530</v>
      </c>
      <c r="E142" s="23">
        <v>13</v>
      </c>
      <c r="F142" s="23">
        <v>13</v>
      </c>
      <c r="G142" s="24">
        <v>0</v>
      </c>
      <c r="H142" s="25" t="s">
        <v>1011</v>
      </c>
    </row>
    <row r="143" spans="1:8" ht="114.75" x14ac:dyDescent="0.25">
      <c r="A143" s="27" t="s">
        <v>930</v>
      </c>
      <c r="B143" s="23" t="s">
        <v>1570</v>
      </c>
      <c r="C143" s="23" t="s">
        <v>224</v>
      </c>
      <c r="D143" s="23" t="s">
        <v>1530</v>
      </c>
      <c r="E143" s="23">
        <v>19</v>
      </c>
      <c r="F143" s="23">
        <v>19</v>
      </c>
      <c r="G143" s="24">
        <v>0</v>
      </c>
      <c r="H143" s="25" t="s">
        <v>1007</v>
      </c>
    </row>
    <row r="144" spans="1:8" ht="216.75" x14ac:dyDescent="0.25">
      <c r="A144" s="27" t="s">
        <v>930</v>
      </c>
      <c r="B144" s="23" t="s">
        <v>1570</v>
      </c>
      <c r="C144" s="23" t="s">
        <v>224</v>
      </c>
      <c r="D144" s="23" t="s">
        <v>1530</v>
      </c>
      <c r="E144" s="23">
        <v>21</v>
      </c>
      <c r="F144" s="23">
        <v>21</v>
      </c>
      <c r="G144" s="24">
        <v>0</v>
      </c>
      <c r="H144" s="25" t="s">
        <v>1623</v>
      </c>
    </row>
    <row r="145" spans="1:8" ht="229.5" x14ac:dyDescent="0.25">
      <c r="A145" s="27" t="s">
        <v>930</v>
      </c>
      <c r="B145" s="23" t="s">
        <v>1570</v>
      </c>
      <c r="C145" s="23" t="s">
        <v>224</v>
      </c>
      <c r="D145" s="23" t="s">
        <v>1530</v>
      </c>
      <c r="E145" s="23">
        <v>22</v>
      </c>
      <c r="F145" s="23">
        <v>22</v>
      </c>
      <c r="G145" s="24">
        <v>0</v>
      </c>
      <c r="H145" s="25" t="s">
        <v>1004</v>
      </c>
    </row>
    <row r="146" spans="1:8" ht="229.5" x14ac:dyDescent="0.25">
      <c r="A146" s="27" t="s">
        <v>930</v>
      </c>
      <c r="B146" s="23" t="s">
        <v>1570</v>
      </c>
      <c r="C146" s="23" t="s">
        <v>224</v>
      </c>
      <c r="D146" s="23" t="s">
        <v>1530</v>
      </c>
      <c r="E146" s="23">
        <v>23</v>
      </c>
      <c r="F146" s="23">
        <v>23</v>
      </c>
      <c r="G146" s="24">
        <v>0</v>
      </c>
      <c r="H146" s="25" t="s">
        <v>1640</v>
      </c>
    </row>
    <row r="147" spans="1:8" ht="140.25" x14ac:dyDescent="0.25">
      <c r="A147" s="27" t="s">
        <v>930</v>
      </c>
      <c r="B147" s="23" t="s">
        <v>1570</v>
      </c>
      <c r="C147" s="23" t="s">
        <v>654</v>
      </c>
      <c r="D147" s="16" t="s">
        <v>1531</v>
      </c>
      <c r="E147" s="23">
        <v>10</v>
      </c>
      <c r="F147" s="23">
        <v>10</v>
      </c>
      <c r="G147" s="24">
        <v>0</v>
      </c>
      <c r="H147" s="25" t="s">
        <v>1600</v>
      </c>
    </row>
    <row r="148" spans="1:8" ht="63.75" x14ac:dyDescent="0.25">
      <c r="A148" s="27" t="s">
        <v>930</v>
      </c>
      <c r="B148" s="23" t="s">
        <v>1570</v>
      </c>
      <c r="C148" s="23" t="s">
        <v>654</v>
      </c>
      <c r="D148" s="16" t="s">
        <v>1531</v>
      </c>
      <c r="E148" s="23">
        <v>18</v>
      </c>
      <c r="F148" s="23">
        <v>18</v>
      </c>
      <c r="G148" s="24">
        <v>0</v>
      </c>
      <c r="H148" s="25" t="s">
        <v>1641</v>
      </c>
    </row>
    <row r="149" spans="1:8" ht="140.25" x14ac:dyDescent="0.25">
      <c r="A149" s="27" t="s">
        <v>930</v>
      </c>
      <c r="B149" s="23" t="s">
        <v>1570</v>
      </c>
      <c r="C149" s="23" t="s">
        <v>654</v>
      </c>
      <c r="D149" s="16" t="s">
        <v>1531</v>
      </c>
      <c r="E149" s="23">
        <v>20</v>
      </c>
      <c r="F149" s="23">
        <v>20</v>
      </c>
      <c r="G149" s="24">
        <v>0</v>
      </c>
      <c r="H149" s="25" t="s">
        <v>1617</v>
      </c>
    </row>
    <row r="150" spans="1:8" ht="165.75" x14ac:dyDescent="0.25">
      <c r="A150" s="27" t="s">
        <v>930</v>
      </c>
      <c r="B150" s="23" t="s">
        <v>1570</v>
      </c>
      <c r="C150" s="23" t="s">
        <v>654</v>
      </c>
      <c r="D150" s="16" t="s">
        <v>1531</v>
      </c>
      <c r="E150" s="23">
        <v>21</v>
      </c>
      <c r="F150" s="23">
        <v>21</v>
      </c>
      <c r="G150" s="24">
        <v>0</v>
      </c>
      <c r="H150" s="25" t="s">
        <v>1572</v>
      </c>
    </row>
    <row r="151" spans="1:8" ht="267.75" x14ac:dyDescent="0.25">
      <c r="A151" s="27" t="s">
        <v>930</v>
      </c>
      <c r="B151" s="23" t="s">
        <v>1570</v>
      </c>
      <c r="C151" s="23" t="s">
        <v>654</v>
      </c>
      <c r="D151" s="16" t="s">
        <v>1531</v>
      </c>
      <c r="E151" s="23">
        <v>23</v>
      </c>
      <c r="F151" s="23">
        <v>23</v>
      </c>
      <c r="G151" s="24">
        <v>0</v>
      </c>
      <c r="H151" s="25" t="s">
        <v>1642</v>
      </c>
    </row>
    <row r="152" spans="1:8" ht="102" x14ac:dyDescent="0.25">
      <c r="A152" s="27" t="s">
        <v>930</v>
      </c>
      <c r="B152" s="23" t="s">
        <v>1570</v>
      </c>
      <c r="C152" s="23" t="s">
        <v>654</v>
      </c>
      <c r="D152" s="16" t="s">
        <v>1531</v>
      </c>
      <c r="E152" s="23">
        <v>34</v>
      </c>
      <c r="F152" s="23">
        <v>34</v>
      </c>
      <c r="G152" s="24">
        <v>0</v>
      </c>
      <c r="H152" s="25" t="s">
        <v>1602</v>
      </c>
    </row>
    <row r="153" spans="1:8" ht="76.5" x14ac:dyDescent="0.25">
      <c r="A153" s="27" t="s">
        <v>930</v>
      </c>
      <c r="B153" s="23" t="s">
        <v>1570</v>
      </c>
      <c r="C153" s="23" t="s">
        <v>654</v>
      </c>
      <c r="D153" s="16" t="s">
        <v>1531</v>
      </c>
      <c r="E153" s="23">
        <v>35</v>
      </c>
      <c r="F153" s="23">
        <v>35</v>
      </c>
      <c r="G153" s="24">
        <v>0</v>
      </c>
      <c r="H153" s="25" t="s">
        <v>1643</v>
      </c>
    </row>
    <row r="154" spans="1:8" ht="102" x14ac:dyDescent="0.25">
      <c r="A154" s="27" t="s">
        <v>930</v>
      </c>
      <c r="B154" s="23" t="s">
        <v>1570</v>
      </c>
      <c r="C154" s="23" t="s">
        <v>654</v>
      </c>
      <c r="D154" s="16" t="s">
        <v>1531</v>
      </c>
      <c r="E154" s="23">
        <v>36</v>
      </c>
      <c r="F154" s="23">
        <v>36</v>
      </c>
      <c r="G154" s="24">
        <v>0</v>
      </c>
      <c r="H154" s="25" t="s">
        <v>1603</v>
      </c>
    </row>
    <row r="155" spans="1:8" ht="102" x14ac:dyDescent="0.25">
      <c r="A155" s="27" t="s">
        <v>930</v>
      </c>
      <c r="B155" s="23" t="s">
        <v>1570</v>
      </c>
      <c r="C155" s="23" t="s">
        <v>654</v>
      </c>
      <c r="D155" s="16" t="s">
        <v>1531</v>
      </c>
      <c r="E155" s="23">
        <v>39</v>
      </c>
      <c r="F155" s="23">
        <v>39</v>
      </c>
      <c r="G155" s="24">
        <v>0</v>
      </c>
      <c r="H155" s="25" t="s">
        <v>1644</v>
      </c>
    </row>
    <row r="156" spans="1:8" ht="114.75" x14ac:dyDescent="0.25">
      <c r="A156" s="27" t="s">
        <v>930</v>
      </c>
      <c r="B156" s="23" t="s">
        <v>1570</v>
      </c>
      <c r="C156" s="23" t="s">
        <v>654</v>
      </c>
      <c r="D156" s="16" t="s">
        <v>1531</v>
      </c>
      <c r="E156" s="23">
        <v>40</v>
      </c>
      <c r="F156" s="23">
        <v>40</v>
      </c>
      <c r="G156" s="24">
        <v>0</v>
      </c>
      <c r="H156" s="25" t="s">
        <v>1645</v>
      </c>
    </row>
    <row r="157" spans="1:8" ht="102" x14ac:dyDescent="0.25">
      <c r="A157" s="27" t="s">
        <v>930</v>
      </c>
      <c r="B157" s="23" t="s">
        <v>1570</v>
      </c>
      <c r="C157" s="23" t="s">
        <v>21</v>
      </c>
      <c r="D157" s="16" t="s">
        <v>1531</v>
      </c>
      <c r="E157" s="23">
        <v>19</v>
      </c>
      <c r="F157" s="23">
        <v>19</v>
      </c>
      <c r="G157" s="24">
        <v>0</v>
      </c>
      <c r="H157" s="25" t="s">
        <v>1390</v>
      </c>
    </row>
    <row r="158" spans="1:8" ht="76.5" x14ac:dyDescent="0.25">
      <c r="A158" s="27" t="s">
        <v>930</v>
      </c>
      <c r="B158" s="23" t="s">
        <v>1570</v>
      </c>
      <c r="C158" s="23" t="s">
        <v>918</v>
      </c>
      <c r="D158" s="16" t="s">
        <v>1531</v>
      </c>
      <c r="E158" s="23">
        <v>6</v>
      </c>
      <c r="F158" s="23">
        <v>6</v>
      </c>
      <c r="G158" s="24">
        <v>0</v>
      </c>
      <c r="H158" s="25" t="s">
        <v>1646</v>
      </c>
    </row>
    <row r="159" spans="1:8" ht="165.75" x14ac:dyDescent="0.25">
      <c r="A159" s="27" t="s">
        <v>930</v>
      </c>
      <c r="B159" s="23" t="s">
        <v>1570</v>
      </c>
      <c r="C159" s="23" t="s">
        <v>918</v>
      </c>
      <c r="D159" s="16" t="s">
        <v>1531</v>
      </c>
      <c r="E159" s="23">
        <v>12</v>
      </c>
      <c r="F159" s="23">
        <v>12</v>
      </c>
      <c r="G159" s="24">
        <v>0</v>
      </c>
      <c r="H159" s="25" t="s">
        <v>1607</v>
      </c>
    </row>
    <row r="160" spans="1:8" ht="165.75" x14ac:dyDescent="0.25">
      <c r="A160" s="27" t="s">
        <v>930</v>
      </c>
      <c r="B160" s="23" t="s">
        <v>1570</v>
      </c>
      <c r="C160" s="23" t="s">
        <v>918</v>
      </c>
      <c r="D160" s="16" t="s">
        <v>1531</v>
      </c>
      <c r="E160" s="23">
        <v>23</v>
      </c>
      <c r="F160" s="23">
        <v>23</v>
      </c>
      <c r="G160" s="24">
        <v>0</v>
      </c>
      <c r="H160" s="25" t="s">
        <v>1578</v>
      </c>
    </row>
    <row r="161" spans="1:8" ht="280.5" x14ac:dyDescent="0.25">
      <c r="A161" s="27" t="s">
        <v>930</v>
      </c>
      <c r="B161" s="23" t="s">
        <v>1570</v>
      </c>
      <c r="C161" s="23" t="s">
        <v>918</v>
      </c>
      <c r="D161" s="16" t="s">
        <v>1531</v>
      </c>
      <c r="E161" s="23">
        <v>24</v>
      </c>
      <c r="F161" s="23">
        <v>24</v>
      </c>
      <c r="G161" s="24">
        <v>0</v>
      </c>
      <c r="H161" s="25" t="s">
        <v>1579</v>
      </c>
    </row>
    <row r="162" spans="1:8" ht="204" x14ac:dyDescent="0.25">
      <c r="A162" s="27" t="s">
        <v>930</v>
      </c>
      <c r="B162" s="23" t="s">
        <v>1570</v>
      </c>
      <c r="C162" s="23" t="s">
        <v>918</v>
      </c>
      <c r="D162" s="16" t="s">
        <v>1531</v>
      </c>
      <c r="E162" s="23">
        <v>27</v>
      </c>
      <c r="F162" s="23">
        <v>27</v>
      </c>
      <c r="G162" s="24">
        <v>0</v>
      </c>
      <c r="H162" s="25" t="s">
        <v>1626</v>
      </c>
    </row>
    <row r="163" spans="1:8" ht="102" x14ac:dyDescent="0.25">
      <c r="A163" s="27" t="s">
        <v>930</v>
      </c>
      <c r="B163" s="23" t="s">
        <v>1570</v>
      </c>
      <c r="C163" s="23" t="s">
        <v>67</v>
      </c>
      <c r="D163" s="16" t="s">
        <v>1531</v>
      </c>
      <c r="E163" s="23">
        <v>12</v>
      </c>
      <c r="F163" s="23">
        <v>12</v>
      </c>
      <c r="G163" s="24">
        <v>0</v>
      </c>
      <c r="H163" s="25" t="s">
        <v>1627</v>
      </c>
    </row>
    <row r="164" spans="1:8" ht="38.25" x14ac:dyDescent="0.25">
      <c r="A164" s="27" t="s">
        <v>930</v>
      </c>
      <c r="B164" s="23" t="s">
        <v>1570</v>
      </c>
      <c r="C164" s="23" t="s">
        <v>67</v>
      </c>
      <c r="D164" s="16" t="s">
        <v>1531</v>
      </c>
      <c r="E164" s="23">
        <v>23</v>
      </c>
      <c r="F164" s="23">
        <v>23</v>
      </c>
      <c r="G164" s="24">
        <v>0</v>
      </c>
      <c r="H164" s="25" t="s">
        <v>1647</v>
      </c>
    </row>
    <row r="165" spans="1:8" ht="63.75" x14ac:dyDescent="0.25">
      <c r="A165" s="27" t="s">
        <v>930</v>
      </c>
      <c r="B165" s="23" t="s">
        <v>1570</v>
      </c>
      <c r="C165" s="23" t="s">
        <v>67</v>
      </c>
      <c r="D165" s="16" t="s">
        <v>1531</v>
      </c>
      <c r="E165" s="23">
        <v>30</v>
      </c>
      <c r="F165" s="23">
        <v>30</v>
      </c>
      <c r="G165" s="24">
        <v>0</v>
      </c>
      <c r="H165" s="25" t="s">
        <v>1234</v>
      </c>
    </row>
    <row r="166" spans="1:8" ht="255" x14ac:dyDescent="0.25">
      <c r="A166" s="27" t="s">
        <v>930</v>
      </c>
      <c r="B166" s="23" t="s">
        <v>1570</v>
      </c>
      <c r="C166" s="23" t="s">
        <v>67</v>
      </c>
      <c r="D166" s="16" t="s">
        <v>1531</v>
      </c>
      <c r="E166" s="23">
        <v>42</v>
      </c>
      <c r="F166" s="23">
        <v>42</v>
      </c>
      <c r="G166" s="24">
        <v>0</v>
      </c>
      <c r="H166" s="25" t="s">
        <v>1598</v>
      </c>
    </row>
    <row r="167" spans="1:8" ht="140.25" x14ac:dyDescent="0.25">
      <c r="A167" s="27" t="s">
        <v>930</v>
      </c>
      <c r="B167" s="23" t="s">
        <v>1570</v>
      </c>
      <c r="C167" s="23" t="s">
        <v>224</v>
      </c>
      <c r="D167" s="16" t="s">
        <v>1531</v>
      </c>
      <c r="E167" s="23">
        <v>6</v>
      </c>
      <c r="F167" s="23">
        <v>6</v>
      </c>
      <c r="G167" s="24">
        <v>0</v>
      </c>
      <c r="H167" s="25" t="s">
        <v>1587</v>
      </c>
    </row>
    <row r="168" spans="1:8" ht="140.25" x14ac:dyDescent="0.25">
      <c r="A168" s="27" t="s">
        <v>930</v>
      </c>
      <c r="B168" s="23" t="s">
        <v>1570</v>
      </c>
      <c r="C168" s="23" t="s">
        <v>224</v>
      </c>
      <c r="D168" s="16" t="s">
        <v>1531</v>
      </c>
      <c r="E168" s="23">
        <v>8</v>
      </c>
      <c r="F168" s="23">
        <v>8</v>
      </c>
      <c r="G168" s="24">
        <v>0</v>
      </c>
      <c r="H168" s="25" t="s">
        <v>1614</v>
      </c>
    </row>
    <row r="169" spans="1:8" ht="216.75" x14ac:dyDescent="0.25">
      <c r="A169" s="27" t="s">
        <v>930</v>
      </c>
      <c r="B169" s="23" t="s">
        <v>1570</v>
      </c>
      <c r="C169" s="23" t="s">
        <v>224</v>
      </c>
      <c r="D169" s="16" t="s">
        <v>1531</v>
      </c>
      <c r="E169" s="23">
        <v>21</v>
      </c>
      <c r="F169" s="23">
        <v>21</v>
      </c>
      <c r="G169" s="24">
        <v>0</v>
      </c>
      <c r="H169" s="25" t="s">
        <v>1623</v>
      </c>
    </row>
    <row r="170" spans="1:8" ht="229.5" x14ac:dyDescent="0.25">
      <c r="A170" s="27" t="s">
        <v>930</v>
      </c>
      <c r="B170" s="23" t="s">
        <v>1570</v>
      </c>
      <c r="C170" s="23" t="s">
        <v>224</v>
      </c>
      <c r="D170" s="16" t="s">
        <v>1531</v>
      </c>
      <c r="E170" s="23">
        <v>22</v>
      </c>
      <c r="F170" s="23">
        <v>22</v>
      </c>
      <c r="G170" s="24">
        <v>0</v>
      </c>
      <c r="H170" s="25" t="s">
        <v>1004</v>
      </c>
    </row>
    <row r="171" spans="1:8" ht="229.5" x14ac:dyDescent="0.25">
      <c r="A171" s="27" t="s">
        <v>930</v>
      </c>
      <c r="B171" s="23" t="s">
        <v>1570</v>
      </c>
      <c r="C171" s="23" t="s">
        <v>224</v>
      </c>
      <c r="D171" s="16" t="s">
        <v>1531</v>
      </c>
      <c r="E171" s="23">
        <v>23</v>
      </c>
      <c r="F171" s="23">
        <v>23</v>
      </c>
      <c r="G171" s="24">
        <v>0</v>
      </c>
      <c r="H171" s="25" t="s">
        <v>1640</v>
      </c>
    </row>
    <row r="172" spans="1:8" ht="140.25" x14ac:dyDescent="0.25">
      <c r="A172" s="28" t="s">
        <v>930</v>
      </c>
      <c r="B172" s="23" t="s">
        <v>1570</v>
      </c>
      <c r="C172" s="23" t="s">
        <v>654</v>
      </c>
      <c r="D172" s="16" t="s">
        <v>1534</v>
      </c>
      <c r="E172" s="23">
        <v>15</v>
      </c>
      <c r="F172" s="23">
        <v>15</v>
      </c>
      <c r="G172" s="24">
        <v>0</v>
      </c>
      <c r="H172" s="25" t="s">
        <v>1631</v>
      </c>
    </row>
    <row r="173" spans="1:8" ht="140.25" x14ac:dyDescent="0.25">
      <c r="A173" s="28" t="s">
        <v>930</v>
      </c>
      <c r="B173" s="23" t="s">
        <v>1570</v>
      </c>
      <c r="C173" s="23" t="s">
        <v>21</v>
      </c>
      <c r="D173" s="16" t="s">
        <v>1534</v>
      </c>
      <c r="E173" s="23">
        <v>7</v>
      </c>
      <c r="F173" s="23">
        <v>7</v>
      </c>
      <c r="G173" s="24">
        <v>0</v>
      </c>
      <c r="H173" s="25" t="s">
        <v>1393</v>
      </c>
    </row>
    <row r="174" spans="1:8" ht="127.5" x14ac:dyDescent="0.25">
      <c r="A174" s="28" t="s">
        <v>930</v>
      </c>
      <c r="B174" s="23" t="s">
        <v>1570</v>
      </c>
      <c r="C174" s="23" t="s">
        <v>21</v>
      </c>
      <c r="D174" s="16" t="s">
        <v>1534</v>
      </c>
      <c r="E174" s="23">
        <v>13</v>
      </c>
      <c r="F174" s="23">
        <v>13</v>
      </c>
      <c r="G174" s="24">
        <v>0</v>
      </c>
      <c r="H174" s="25" t="s">
        <v>1648</v>
      </c>
    </row>
    <row r="175" spans="1:8" ht="51" x14ac:dyDescent="0.25">
      <c r="A175" s="28" t="s">
        <v>930</v>
      </c>
      <c r="B175" s="23" t="s">
        <v>1570</v>
      </c>
      <c r="C175" s="23" t="s">
        <v>21</v>
      </c>
      <c r="D175" s="16" t="s">
        <v>1534</v>
      </c>
      <c r="E175" s="23">
        <v>36</v>
      </c>
      <c r="F175" s="23">
        <v>36</v>
      </c>
      <c r="G175" s="24">
        <v>0</v>
      </c>
      <c r="H175" s="25" t="s">
        <v>1649</v>
      </c>
    </row>
    <row r="176" spans="1:8" ht="76.5" x14ac:dyDescent="0.25">
      <c r="A176" s="28" t="s">
        <v>930</v>
      </c>
      <c r="B176" s="23" t="s">
        <v>1570</v>
      </c>
      <c r="C176" s="23" t="s">
        <v>21</v>
      </c>
      <c r="D176" s="16" t="s">
        <v>1534</v>
      </c>
      <c r="E176" s="23">
        <v>37</v>
      </c>
      <c r="F176" s="23">
        <v>37</v>
      </c>
      <c r="G176" s="24">
        <v>0</v>
      </c>
      <c r="H176" s="25" t="s">
        <v>1387</v>
      </c>
    </row>
    <row r="177" spans="1:8" ht="153" x14ac:dyDescent="0.25">
      <c r="A177" s="28" t="s">
        <v>930</v>
      </c>
      <c r="B177" s="23" t="s">
        <v>1570</v>
      </c>
      <c r="C177" s="23" t="s">
        <v>918</v>
      </c>
      <c r="D177" s="16" t="s">
        <v>1534</v>
      </c>
      <c r="E177" s="23">
        <v>21</v>
      </c>
      <c r="F177" s="23">
        <v>21</v>
      </c>
      <c r="G177" s="24">
        <v>0</v>
      </c>
      <c r="H177" s="25" t="s">
        <v>1619</v>
      </c>
    </row>
    <row r="178" spans="1:8" ht="102" x14ac:dyDescent="0.25">
      <c r="A178" s="28" t="s">
        <v>930</v>
      </c>
      <c r="B178" s="23" t="s">
        <v>1570</v>
      </c>
      <c r="C178" s="23" t="s">
        <v>918</v>
      </c>
      <c r="D178" s="16" t="s">
        <v>1534</v>
      </c>
      <c r="E178" s="23">
        <v>22</v>
      </c>
      <c r="F178" s="23">
        <v>22</v>
      </c>
      <c r="G178" s="24">
        <v>0</v>
      </c>
      <c r="H178" s="25" t="s">
        <v>1620</v>
      </c>
    </row>
    <row r="179" spans="1:8" ht="204" x14ac:dyDescent="0.25">
      <c r="A179" s="28" t="s">
        <v>930</v>
      </c>
      <c r="B179" s="23" t="s">
        <v>1570</v>
      </c>
      <c r="C179" s="23" t="s">
        <v>918</v>
      </c>
      <c r="D179" s="16" t="s">
        <v>1534</v>
      </c>
      <c r="E179" s="23">
        <v>25</v>
      </c>
      <c r="F179" s="23">
        <v>25</v>
      </c>
      <c r="G179" s="24">
        <v>0</v>
      </c>
      <c r="H179" s="25" t="s">
        <v>1580</v>
      </c>
    </row>
    <row r="180" spans="1:8" ht="102" x14ac:dyDescent="0.25">
      <c r="A180" s="28" t="s">
        <v>930</v>
      </c>
      <c r="B180" s="23" t="s">
        <v>1570</v>
      </c>
      <c r="C180" s="23" t="s">
        <v>281</v>
      </c>
      <c r="D180" s="16" t="s">
        <v>1534</v>
      </c>
      <c r="E180" s="23">
        <v>32</v>
      </c>
      <c r="F180" s="23">
        <v>32</v>
      </c>
      <c r="G180" s="24">
        <v>0</v>
      </c>
      <c r="H180" s="25" t="s">
        <v>1650</v>
      </c>
    </row>
    <row r="181" spans="1:8" ht="127.5" x14ac:dyDescent="0.25">
      <c r="A181" s="28" t="s">
        <v>930</v>
      </c>
      <c r="B181" s="23" t="s">
        <v>1570</v>
      </c>
      <c r="C181" s="23" t="s">
        <v>67</v>
      </c>
      <c r="D181" s="16" t="s">
        <v>1534</v>
      </c>
      <c r="E181" s="23">
        <v>16</v>
      </c>
      <c r="F181" s="23">
        <v>16</v>
      </c>
      <c r="G181" s="24">
        <v>0</v>
      </c>
      <c r="H181" s="25" t="s">
        <v>1651</v>
      </c>
    </row>
    <row r="182" spans="1:8" ht="153" x14ac:dyDescent="0.25">
      <c r="A182" s="28" t="s">
        <v>930</v>
      </c>
      <c r="B182" s="23" t="s">
        <v>1570</v>
      </c>
      <c r="C182" s="23" t="s">
        <v>67</v>
      </c>
      <c r="D182" s="16" t="s">
        <v>1534</v>
      </c>
      <c r="E182" s="23">
        <v>46</v>
      </c>
      <c r="F182" s="23">
        <v>46</v>
      </c>
      <c r="G182" s="24">
        <v>0</v>
      </c>
      <c r="H182" s="25" t="s">
        <v>1225</v>
      </c>
    </row>
    <row r="183" spans="1:8" ht="102" x14ac:dyDescent="0.25">
      <c r="A183" s="28" t="s">
        <v>930</v>
      </c>
      <c r="B183" s="23" t="s">
        <v>1570</v>
      </c>
      <c r="C183" s="23" t="s">
        <v>224</v>
      </c>
      <c r="D183" s="16" t="s">
        <v>1534</v>
      </c>
      <c r="E183" s="23">
        <v>9</v>
      </c>
      <c r="F183" s="23">
        <v>9</v>
      </c>
      <c r="G183" s="24">
        <v>0</v>
      </c>
      <c r="H183" s="25" t="s">
        <v>1652</v>
      </c>
    </row>
    <row r="184" spans="1:8" ht="114.75" x14ac:dyDescent="0.25">
      <c r="A184" s="28" t="s">
        <v>930</v>
      </c>
      <c r="B184" s="23" t="s">
        <v>1570</v>
      </c>
      <c r="C184" s="23" t="s">
        <v>224</v>
      </c>
      <c r="D184" s="16" t="s">
        <v>1534</v>
      </c>
      <c r="E184" s="23">
        <v>18</v>
      </c>
      <c r="F184" s="23">
        <v>18</v>
      </c>
      <c r="G184" s="24">
        <v>0</v>
      </c>
      <c r="H184" s="25" t="s">
        <v>1008</v>
      </c>
    </row>
    <row r="185" spans="1:8" ht="229.5" x14ac:dyDescent="0.25">
      <c r="A185" s="28" t="s">
        <v>930</v>
      </c>
      <c r="B185" s="23" t="s">
        <v>1570</v>
      </c>
      <c r="C185" s="23" t="s">
        <v>224</v>
      </c>
      <c r="D185" s="16" t="s">
        <v>1534</v>
      </c>
      <c r="E185" s="23">
        <v>23</v>
      </c>
      <c r="F185" s="23">
        <v>23</v>
      </c>
      <c r="G185" s="24">
        <v>0</v>
      </c>
      <c r="H185" s="25" t="s">
        <v>1640</v>
      </c>
    </row>
    <row r="186" spans="1:8" ht="127.5" x14ac:dyDescent="0.25">
      <c r="A186" s="28" t="s">
        <v>930</v>
      </c>
      <c r="B186" s="23" t="s">
        <v>1570</v>
      </c>
      <c r="C186" s="23" t="s">
        <v>654</v>
      </c>
      <c r="D186" s="16" t="s">
        <v>1538</v>
      </c>
      <c r="E186" s="23">
        <v>12</v>
      </c>
      <c r="F186" s="23">
        <v>12</v>
      </c>
      <c r="G186" s="24">
        <v>0</v>
      </c>
      <c r="H186" s="25" t="s">
        <v>1653</v>
      </c>
    </row>
    <row r="187" spans="1:8" ht="89.25" x14ac:dyDescent="0.25">
      <c r="A187" s="28" t="s">
        <v>930</v>
      </c>
      <c r="B187" s="23" t="s">
        <v>1570</v>
      </c>
      <c r="C187" s="23" t="s">
        <v>258</v>
      </c>
      <c r="D187" s="16" t="s">
        <v>1537</v>
      </c>
      <c r="E187" s="23">
        <v>21</v>
      </c>
      <c r="F187" s="23">
        <v>21</v>
      </c>
      <c r="G187" s="24">
        <v>0</v>
      </c>
      <c r="H187" s="25" t="s">
        <v>1201</v>
      </c>
    </row>
    <row r="188" spans="1:8" ht="89.25" x14ac:dyDescent="0.25">
      <c r="A188" s="28" t="s">
        <v>930</v>
      </c>
      <c r="B188" s="23" t="s">
        <v>1570</v>
      </c>
      <c r="C188" s="23" t="s">
        <v>21</v>
      </c>
      <c r="D188" s="16" t="s">
        <v>1537</v>
      </c>
      <c r="E188" s="23">
        <v>5</v>
      </c>
      <c r="F188" s="23">
        <v>5</v>
      </c>
      <c r="G188" s="24">
        <v>0</v>
      </c>
      <c r="H188" s="25" t="s">
        <v>1654</v>
      </c>
    </row>
    <row r="189" spans="1:8" ht="127.5" x14ac:dyDescent="0.25">
      <c r="A189" s="28" t="s">
        <v>930</v>
      </c>
      <c r="B189" s="23" t="s">
        <v>1570</v>
      </c>
      <c r="C189" s="23" t="s">
        <v>21</v>
      </c>
      <c r="D189" s="16" t="s">
        <v>1536</v>
      </c>
      <c r="E189" s="23">
        <v>27</v>
      </c>
      <c r="F189" s="23">
        <v>27</v>
      </c>
      <c r="G189" s="24">
        <v>0</v>
      </c>
      <c r="H189" s="25" t="s">
        <v>1655</v>
      </c>
    </row>
    <row r="190" spans="1:8" ht="140.25" x14ac:dyDescent="0.25">
      <c r="A190" s="28" t="s">
        <v>930</v>
      </c>
      <c r="B190" s="23" t="s">
        <v>1570</v>
      </c>
      <c r="C190" s="23" t="s">
        <v>21</v>
      </c>
      <c r="D190" s="16" t="s">
        <v>1536</v>
      </c>
      <c r="E190" s="23">
        <v>28</v>
      </c>
      <c r="F190" s="23">
        <v>28</v>
      </c>
      <c r="G190" s="24">
        <v>0</v>
      </c>
      <c r="H190" s="25" t="s">
        <v>1656</v>
      </c>
    </row>
    <row r="191" spans="1:8" ht="114.75" x14ac:dyDescent="0.25">
      <c r="A191" s="28" t="s">
        <v>930</v>
      </c>
      <c r="B191" s="23" t="s">
        <v>1570</v>
      </c>
      <c r="C191" s="23" t="s">
        <v>21</v>
      </c>
      <c r="D191" s="16" t="s">
        <v>1536</v>
      </c>
      <c r="E191" s="23">
        <v>29</v>
      </c>
      <c r="F191" s="23">
        <v>29</v>
      </c>
      <c r="G191" s="24">
        <v>0</v>
      </c>
      <c r="H191" s="25" t="s">
        <v>1657</v>
      </c>
    </row>
    <row r="192" spans="1:8" ht="127.5" x14ac:dyDescent="0.25">
      <c r="A192" s="29" t="s">
        <v>930</v>
      </c>
      <c r="B192" s="23" t="s">
        <v>1570</v>
      </c>
      <c r="C192" s="23" t="s">
        <v>654</v>
      </c>
      <c r="D192" s="23" t="s">
        <v>1658</v>
      </c>
      <c r="E192" s="23">
        <v>2</v>
      </c>
      <c r="F192" s="23">
        <v>2</v>
      </c>
      <c r="G192" s="24">
        <v>0</v>
      </c>
      <c r="H192" s="25" t="s">
        <v>1659</v>
      </c>
    </row>
    <row r="193" spans="1:8" ht="89.25" x14ac:dyDescent="0.25">
      <c r="A193" s="29" t="s">
        <v>930</v>
      </c>
      <c r="B193" s="23" t="s">
        <v>1570</v>
      </c>
      <c r="C193" s="23" t="s">
        <v>258</v>
      </c>
      <c r="D193" s="23" t="s">
        <v>1658</v>
      </c>
      <c r="E193" s="23">
        <v>2</v>
      </c>
      <c r="F193" s="23">
        <v>2</v>
      </c>
      <c r="G193" s="24">
        <v>0</v>
      </c>
      <c r="H193" s="25" t="s">
        <v>1453</v>
      </c>
    </row>
    <row r="194" spans="1:8" ht="76.5" x14ac:dyDescent="0.25">
      <c r="A194" s="29" t="s">
        <v>930</v>
      </c>
      <c r="B194" s="23" t="s">
        <v>1570</v>
      </c>
      <c r="C194" s="23" t="s">
        <v>21</v>
      </c>
      <c r="D194" s="23" t="s">
        <v>1658</v>
      </c>
      <c r="E194" s="23">
        <v>3</v>
      </c>
      <c r="F194" s="23">
        <v>3</v>
      </c>
      <c r="G194" s="24">
        <v>0</v>
      </c>
      <c r="H194" s="25" t="s">
        <v>27</v>
      </c>
    </row>
    <row r="195" spans="1:8" ht="63.75" x14ac:dyDescent="0.25">
      <c r="A195" s="29" t="s">
        <v>930</v>
      </c>
      <c r="B195" s="23" t="s">
        <v>1570</v>
      </c>
      <c r="C195" s="23" t="s">
        <v>918</v>
      </c>
      <c r="D195" s="23" t="s">
        <v>1658</v>
      </c>
      <c r="E195" s="23">
        <v>2</v>
      </c>
      <c r="F195" s="23">
        <v>2</v>
      </c>
      <c r="G195" s="24">
        <v>0</v>
      </c>
      <c r="H195" s="25" t="s">
        <v>923</v>
      </c>
    </row>
    <row r="196" spans="1:8" ht="102" x14ac:dyDescent="0.25">
      <c r="A196" s="29" t="s">
        <v>930</v>
      </c>
      <c r="B196" s="23" t="s">
        <v>1570</v>
      </c>
      <c r="C196" s="23" t="s">
        <v>281</v>
      </c>
      <c r="D196" s="23" t="s">
        <v>1658</v>
      </c>
      <c r="E196" s="23">
        <v>2</v>
      </c>
      <c r="F196" s="23">
        <v>2</v>
      </c>
      <c r="G196" s="24">
        <v>0</v>
      </c>
      <c r="H196" s="25" t="s">
        <v>285</v>
      </c>
    </row>
    <row r="197" spans="1:8" ht="165.75" x14ac:dyDescent="0.25">
      <c r="A197" s="29" t="s">
        <v>930</v>
      </c>
      <c r="B197" s="23" t="s">
        <v>1570</v>
      </c>
      <c r="C197" s="23" t="s">
        <v>67</v>
      </c>
      <c r="D197" s="23" t="s">
        <v>1658</v>
      </c>
      <c r="E197" s="23">
        <v>2</v>
      </c>
      <c r="F197" s="23">
        <v>2</v>
      </c>
      <c r="G197" s="24">
        <v>0</v>
      </c>
      <c r="H197" s="25" t="s">
        <v>1450</v>
      </c>
    </row>
    <row r="198" spans="1:8" ht="178.5" x14ac:dyDescent="0.25">
      <c r="A198" s="29" t="s">
        <v>930</v>
      </c>
      <c r="B198" s="23" t="s">
        <v>1570</v>
      </c>
      <c r="C198" s="23" t="s">
        <v>224</v>
      </c>
      <c r="D198" s="23" t="s">
        <v>1658</v>
      </c>
      <c r="E198" s="23">
        <v>2</v>
      </c>
      <c r="F198" s="23">
        <v>2</v>
      </c>
      <c r="G198" s="24">
        <v>0</v>
      </c>
      <c r="H198" s="25" t="s">
        <v>1451</v>
      </c>
    </row>
    <row r="199" spans="1:8" ht="409.5" x14ac:dyDescent="0.25">
      <c r="A199" s="29" t="s">
        <v>930</v>
      </c>
      <c r="B199" s="23" t="s">
        <v>1570</v>
      </c>
      <c r="C199" s="23" t="s">
        <v>654</v>
      </c>
      <c r="D199" s="23" t="s">
        <v>1660</v>
      </c>
      <c r="E199" s="23">
        <v>22</v>
      </c>
      <c r="F199" s="23">
        <v>41</v>
      </c>
      <c r="G199" s="24">
        <v>0</v>
      </c>
      <c r="H199" s="25" t="s">
        <v>660</v>
      </c>
    </row>
    <row r="200" spans="1:8" ht="409.5" x14ac:dyDescent="0.25">
      <c r="A200" s="29" t="s">
        <v>930</v>
      </c>
      <c r="B200" s="23" t="s">
        <v>1570</v>
      </c>
      <c r="C200" s="23" t="s">
        <v>258</v>
      </c>
      <c r="D200" s="23" t="s">
        <v>1660</v>
      </c>
      <c r="E200" s="23">
        <v>29</v>
      </c>
      <c r="F200" s="23">
        <v>38</v>
      </c>
      <c r="G200" s="24">
        <v>0</v>
      </c>
      <c r="H200" s="25" t="s">
        <v>267</v>
      </c>
    </row>
    <row r="201" spans="1:8" ht="409.5" x14ac:dyDescent="0.25">
      <c r="A201" s="29" t="s">
        <v>930</v>
      </c>
      <c r="B201" s="23" t="s">
        <v>1570</v>
      </c>
      <c r="C201" s="23" t="s">
        <v>21</v>
      </c>
      <c r="D201" s="23" t="s">
        <v>1660</v>
      </c>
      <c r="E201" s="23">
        <v>26</v>
      </c>
      <c r="F201" s="23">
        <v>47</v>
      </c>
      <c r="G201" s="24">
        <v>0</v>
      </c>
      <c r="H201" s="25" t="s">
        <v>36</v>
      </c>
    </row>
    <row r="202" spans="1:8" ht="409.5" x14ac:dyDescent="0.25">
      <c r="A202" s="29" t="s">
        <v>930</v>
      </c>
      <c r="B202" s="23" t="s">
        <v>1570</v>
      </c>
      <c r="C202" s="23" t="s">
        <v>918</v>
      </c>
      <c r="D202" s="23" t="s">
        <v>1660</v>
      </c>
      <c r="E202" s="23">
        <v>23</v>
      </c>
      <c r="F202" s="23">
        <v>27</v>
      </c>
      <c r="G202" s="24">
        <v>0</v>
      </c>
      <c r="H202" s="25" t="s">
        <v>1448</v>
      </c>
    </row>
    <row r="203" spans="1:8" ht="409.5" x14ac:dyDescent="0.25">
      <c r="A203" s="29" t="s">
        <v>930</v>
      </c>
      <c r="B203" s="23" t="s">
        <v>1570</v>
      </c>
      <c r="C203" s="23" t="s">
        <v>281</v>
      </c>
      <c r="D203" s="23" t="s">
        <v>1660</v>
      </c>
      <c r="E203" s="23">
        <v>20</v>
      </c>
      <c r="F203" s="23">
        <v>33</v>
      </c>
      <c r="G203" s="24">
        <v>0</v>
      </c>
      <c r="H203" s="25" t="s">
        <v>290</v>
      </c>
    </row>
    <row r="204" spans="1:8" ht="409.5" x14ac:dyDescent="0.25">
      <c r="A204" s="29" t="s">
        <v>930</v>
      </c>
      <c r="B204" s="23" t="s">
        <v>1570</v>
      </c>
      <c r="C204" s="23" t="s">
        <v>67</v>
      </c>
      <c r="D204" s="23" t="s">
        <v>1660</v>
      </c>
      <c r="E204" s="23">
        <v>32</v>
      </c>
      <c r="F204" s="23">
        <v>46</v>
      </c>
      <c r="G204" s="24">
        <v>0</v>
      </c>
      <c r="H204" s="25" t="s">
        <v>81</v>
      </c>
    </row>
    <row r="205" spans="1:8" ht="409.5" x14ac:dyDescent="0.25">
      <c r="A205" s="29" t="s">
        <v>930</v>
      </c>
      <c r="B205" s="23" t="s">
        <v>1570</v>
      </c>
      <c r="C205" s="23" t="s">
        <v>224</v>
      </c>
      <c r="D205" s="23" t="s">
        <v>1660</v>
      </c>
      <c r="E205" s="23">
        <v>20</v>
      </c>
      <c r="F205" s="23">
        <v>23</v>
      </c>
      <c r="G205" s="24">
        <v>0</v>
      </c>
      <c r="H205" s="25" t="s">
        <v>1449</v>
      </c>
    </row>
    <row r="206" spans="1:8" ht="409.5" x14ac:dyDescent="0.25">
      <c r="A206" s="29" t="s">
        <v>930</v>
      </c>
      <c r="B206" s="23" t="s">
        <v>1570</v>
      </c>
      <c r="C206" s="23" t="s">
        <v>654</v>
      </c>
      <c r="D206" s="23" t="s">
        <v>1661</v>
      </c>
      <c r="E206" s="23">
        <v>3</v>
      </c>
      <c r="F206" s="23">
        <v>21</v>
      </c>
      <c r="G206" s="24">
        <v>0</v>
      </c>
      <c r="H206" s="25" t="s">
        <v>659</v>
      </c>
    </row>
    <row r="207" spans="1:8" ht="409.5" x14ac:dyDescent="0.25">
      <c r="A207" s="29" t="s">
        <v>930</v>
      </c>
      <c r="B207" s="23" t="s">
        <v>1570</v>
      </c>
      <c r="C207" s="23" t="s">
        <v>258</v>
      </c>
      <c r="D207" s="23" t="s">
        <v>1661</v>
      </c>
      <c r="E207" s="23">
        <v>3</v>
      </c>
      <c r="F207" s="23">
        <v>28</v>
      </c>
      <c r="G207" s="24">
        <v>0</v>
      </c>
      <c r="H207" s="25" t="s">
        <v>266</v>
      </c>
    </row>
    <row r="208" spans="1:8" ht="409.5" x14ac:dyDescent="0.25">
      <c r="A208" s="29" t="s">
        <v>930</v>
      </c>
      <c r="B208" s="23" t="s">
        <v>1570</v>
      </c>
      <c r="C208" s="23" t="s">
        <v>21</v>
      </c>
      <c r="D208" s="23" t="s">
        <v>1661</v>
      </c>
      <c r="E208" s="23">
        <v>4</v>
      </c>
      <c r="F208" s="23">
        <v>25</v>
      </c>
      <c r="G208" s="24">
        <v>0</v>
      </c>
      <c r="H208" s="25" t="s">
        <v>35</v>
      </c>
    </row>
    <row r="209" spans="1:8" ht="409.5" x14ac:dyDescent="0.25">
      <c r="A209" s="29" t="s">
        <v>930</v>
      </c>
      <c r="B209" s="23" t="s">
        <v>1570</v>
      </c>
      <c r="C209" s="23" t="s">
        <v>918</v>
      </c>
      <c r="D209" s="23" t="s">
        <v>1661</v>
      </c>
      <c r="E209" s="23">
        <v>3</v>
      </c>
      <c r="F209" s="23">
        <v>22</v>
      </c>
      <c r="G209" s="24">
        <v>0</v>
      </c>
      <c r="H209" s="25" t="s">
        <v>925</v>
      </c>
    </row>
    <row r="210" spans="1:8" ht="409.5" x14ac:dyDescent="0.25">
      <c r="A210" s="29" t="s">
        <v>930</v>
      </c>
      <c r="B210" s="23" t="s">
        <v>1570</v>
      </c>
      <c r="C210" s="23" t="s">
        <v>281</v>
      </c>
      <c r="D210" s="23" t="s">
        <v>1661</v>
      </c>
      <c r="E210" s="23">
        <v>3</v>
      </c>
      <c r="F210" s="23">
        <v>19</v>
      </c>
      <c r="G210" s="24">
        <v>0</v>
      </c>
      <c r="H210" s="25" t="s">
        <v>289</v>
      </c>
    </row>
    <row r="211" spans="1:8" ht="409.5" x14ac:dyDescent="0.25">
      <c r="A211" s="29" t="s">
        <v>930</v>
      </c>
      <c r="B211" s="23" t="s">
        <v>1570</v>
      </c>
      <c r="C211" s="23" t="s">
        <v>67</v>
      </c>
      <c r="D211" s="23" t="s">
        <v>1661</v>
      </c>
      <c r="E211" s="23">
        <v>3</v>
      </c>
      <c r="F211" s="23">
        <v>31</v>
      </c>
      <c r="G211" s="24">
        <v>0</v>
      </c>
      <c r="H211" s="25" t="s">
        <v>80</v>
      </c>
    </row>
    <row r="212" spans="1:8" ht="409.5" x14ac:dyDescent="0.25">
      <c r="A212" s="29" t="s">
        <v>930</v>
      </c>
      <c r="B212" s="23" t="s">
        <v>1570</v>
      </c>
      <c r="C212" s="23" t="s">
        <v>224</v>
      </c>
      <c r="D212" s="23" t="s">
        <v>1661</v>
      </c>
      <c r="E212" s="23">
        <v>3</v>
      </c>
      <c r="F212" s="23">
        <v>19</v>
      </c>
      <c r="G212" s="24">
        <v>0</v>
      </c>
      <c r="H212" s="25" t="s">
        <v>1447</v>
      </c>
    </row>
    <row r="213" spans="1:8" ht="25.5" x14ac:dyDescent="0.25">
      <c r="A213" s="29" t="s">
        <v>930</v>
      </c>
      <c r="B213" s="23" t="s">
        <v>1570</v>
      </c>
      <c r="C213" s="23" t="s">
        <v>654</v>
      </c>
      <c r="D213" s="23" t="s">
        <v>1662</v>
      </c>
      <c r="E213" s="23">
        <v>1</v>
      </c>
      <c r="F213" s="23">
        <v>1</v>
      </c>
      <c r="G213" s="24">
        <v>0</v>
      </c>
      <c r="H213" s="25" t="s">
        <v>653</v>
      </c>
    </row>
    <row r="214" spans="1:8" ht="76.5" x14ac:dyDescent="0.25">
      <c r="A214" s="29" t="s">
        <v>930</v>
      </c>
      <c r="B214" s="23" t="s">
        <v>1570</v>
      </c>
      <c r="C214" s="23" t="s">
        <v>258</v>
      </c>
      <c r="D214" s="23" t="s">
        <v>1662</v>
      </c>
      <c r="E214" s="23">
        <v>1</v>
      </c>
      <c r="F214" s="23">
        <v>1</v>
      </c>
      <c r="G214" s="24">
        <v>0</v>
      </c>
      <c r="H214" s="25" t="s">
        <v>257</v>
      </c>
    </row>
    <row r="215" spans="1:8" ht="63.75" x14ac:dyDescent="0.25">
      <c r="A215" s="29" t="s">
        <v>930</v>
      </c>
      <c r="B215" s="23" t="s">
        <v>1570</v>
      </c>
      <c r="C215" s="23" t="s">
        <v>21</v>
      </c>
      <c r="D215" s="23" t="s">
        <v>1662</v>
      </c>
      <c r="E215" s="23">
        <v>1</v>
      </c>
      <c r="F215" s="23">
        <v>2</v>
      </c>
      <c r="G215" s="24">
        <v>0</v>
      </c>
      <c r="H215" s="25" t="s">
        <v>1663</v>
      </c>
    </row>
    <row r="216" spans="1:8" ht="38.25" x14ac:dyDescent="0.25">
      <c r="A216" s="29" t="s">
        <v>930</v>
      </c>
      <c r="B216" s="23" t="s">
        <v>1570</v>
      </c>
      <c r="C216" s="23" t="s">
        <v>918</v>
      </c>
      <c r="D216" s="23" t="s">
        <v>1662</v>
      </c>
      <c r="E216" s="23">
        <v>1</v>
      </c>
      <c r="F216" s="23">
        <v>1</v>
      </c>
      <c r="G216" s="24">
        <v>0</v>
      </c>
      <c r="H216" s="25" t="s">
        <v>1664</v>
      </c>
    </row>
    <row r="217" spans="1:8" ht="63.75" x14ac:dyDescent="0.25">
      <c r="A217" s="29" t="s">
        <v>930</v>
      </c>
      <c r="B217" s="23" t="s">
        <v>1570</v>
      </c>
      <c r="C217" s="23" t="s">
        <v>281</v>
      </c>
      <c r="D217" s="23" t="s">
        <v>1662</v>
      </c>
      <c r="E217" s="23">
        <v>1</v>
      </c>
      <c r="F217" s="23">
        <v>1</v>
      </c>
      <c r="G217" s="24">
        <v>0</v>
      </c>
      <c r="H217" s="25" t="s">
        <v>282</v>
      </c>
    </row>
    <row r="218" spans="1:8" ht="63.75" x14ac:dyDescent="0.25">
      <c r="A218" s="29" t="s">
        <v>930</v>
      </c>
      <c r="B218" s="23" t="s">
        <v>1570</v>
      </c>
      <c r="C218" s="23" t="s">
        <v>67</v>
      </c>
      <c r="D218" s="23" t="s">
        <v>1662</v>
      </c>
      <c r="E218" s="23">
        <v>1</v>
      </c>
      <c r="F218" s="23">
        <v>1</v>
      </c>
      <c r="G218" s="24">
        <v>0</v>
      </c>
      <c r="H218" s="25" t="s">
        <v>66</v>
      </c>
    </row>
    <row r="219" spans="1:8" ht="51" x14ac:dyDescent="0.25">
      <c r="A219" s="29" t="s">
        <v>930</v>
      </c>
      <c r="B219" s="23" t="s">
        <v>1570</v>
      </c>
      <c r="C219" s="23" t="s">
        <v>224</v>
      </c>
      <c r="D219" s="23" t="s">
        <v>1662</v>
      </c>
      <c r="E219" s="23">
        <v>1</v>
      </c>
      <c r="F219" s="23">
        <v>1</v>
      </c>
      <c r="G219" s="24">
        <v>0</v>
      </c>
      <c r="H219" s="25" t="s">
        <v>223</v>
      </c>
    </row>
  </sheetData>
  <autoFilter ref="A1:H219" xr:uid="{787D2DB5-EEF8-4EF9-9980-A0CA61ECFFF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100761-817C-4592-B8AD-6813F71E85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5</vt:i4>
      </vt:variant>
    </vt:vector>
  </HeadingPairs>
  <TitlesOfParts>
    <vt:vector size="5" baseType="lpstr">
      <vt:lpstr>Translators_MT_Data</vt:lpstr>
      <vt:lpstr>Translators_MT_2nd coder data</vt:lpstr>
      <vt:lpstr>Codes list</vt:lpstr>
      <vt:lpstr>Coded Segments</vt:lpstr>
      <vt:lpstr>Coded segments 2nd coder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Niza</dc:creator>
  <cp:lastModifiedBy>Clara Nisa Caetano De Almeida E Paiva</cp:lastModifiedBy>
  <dcterms:created xsi:type="dcterms:W3CDTF">2026-02-12T13:44:48Z</dcterms:created>
  <dcterms:modified xsi:type="dcterms:W3CDTF">2026-06-30T12:45:12Z</dcterms:modified>
</cp:coreProperties>
</file>